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6970893804\Desktop\I-30003\"/>
    </mc:Choice>
  </mc:AlternateContent>
  <bookViews>
    <workbookView xWindow="0" yWindow="0" windowWidth="28800" windowHeight="12315" tabRatio="500"/>
  </bookViews>
  <sheets>
    <sheet name="Plan1" sheetId="1" r:id="rId1"/>
    <sheet name="Plan2" sheetId="2" r:id="rId2"/>
    <sheet name="Plan3" sheetId="3" r:id="rId3"/>
  </sheets>
  <definedNames>
    <definedName name="_xlnm.Print_Area" localSheetId="0">Plan1!$A$1:$H$134</definedName>
    <definedName name="tavolaPartLink" localSheetId="0">Plan1!#REF!</definedName>
  </definedNames>
  <calcPr calcId="152511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6" i="1" l="1"/>
  <c r="H115" i="1"/>
  <c r="H113" i="1"/>
  <c r="H112" i="1"/>
  <c r="H111" i="1"/>
  <c r="H108" i="1"/>
  <c r="H107" i="1"/>
  <c r="H106" i="1"/>
  <c r="H105" i="1"/>
  <c r="H104" i="1"/>
  <c r="H103" i="1"/>
  <c r="H102" i="1"/>
  <c r="H120" i="1"/>
  <c r="H119" i="1"/>
  <c r="H118" i="1"/>
  <c r="H117" i="1"/>
  <c r="H110" i="1"/>
  <c r="H109" i="1"/>
  <c r="H101" i="1"/>
  <c r="H100" i="1"/>
  <c r="H77" i="1"/>
  <c r="H97" i="1"/>
  <c r="H96" i="1"/>
  <c r="H95" i="1"/>
  <c r="H94" i="1"/>
  <c r="H93" i="1"/>
  <c r="H92" i="1"/>
  <c r="H91" i="1"/>
  <c r="H90" i="1"/>
  <c r="H89" i="1"/>
  <c r="H87" i="1"/>
  <c r="H86" i="1"/>
  <c r="H85" i="1"/>
  <c r="H84" i="1"/>
  <c r="H83" i="1"/>
  <c r="H82" i="1"/>
  <c r="H81" i="1"/>
  <c r="H49" i="1" l="1"/>
  <c r="H74" i="1"/>
  <c r="H73" i="1"/>
  <c r="H72" i="1"/>
  <c r="H71" i="1"/>
  <c r="H70" i="1"/>
  <c r="H69" i="1"/>
  <c r="H68" i="1"/>
  <c r="H67" i="1"/>
  <c r="H66" i="1"/>
  <c r="H65" i="1"/>
  <c r="H64" i="1"/>
  <c r="H63" i="1"/>
  <c r="E75" i="1"/>
  <c r="H51" i="1"/>
  <c r="H50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3" i="1"/>
  <c r="H22" i="1"/>
  <c r="H98" i="1" l="1"/>
  <c r="H58" i="1" l="1"/>
  <c r="H57" i="1"/>
  <c r="H62" i="1" l="1"/>
  <c r="H61" i="1"/>
  <c r="H60" i="1"/>
  <c r="H59" i="1"/>
  <c r="H56" i="1"/>
  <c r="H78" i="1" l="1"/>
  <c r="H80" i="1"/>
  <c r="H79" i="1"/>
  <c r="H99" i="1" l="1"/>
  <c r="H122" i="1" l="1"/>
  <c r="H52" i="1"/>
  <c r="H21" i="1"/>
  <c r="H20" i="1"/>
  <c r="H19" i="1"/>
  <c r="H75" i="1" l="1"/>
  <c r="H123" i="1"/>
  <c r="G126" i="1" l="1"/>
  <c r="G128" i="1" s="1"/>
</calcChain>
</file>

<file path=xl/sharedStrings.xml><?xml version="1.0" encoding="utf-8"?>
<sst xmlns="http://schemas.openxmlformats.org/spreadsheetml/2006/main" count="206" uniqueCount="152">
  <si>
    <t>PLANILHA DE COMPOSIÇÃO DE CUSTOS</t>
  </si>
  <si>
    <t>DADOS DA VIATURA</t>
  </si>
  <si>
    <t>DADOS DA EMPRESA</t>
  </si>
  <si>
    <t>DADOS DO CLIENTE</t>
  </si>
  <si>
    <t>DESCRIÇÃO DO SISTEMA</t>
  </si>
  <si>
    <t>DESCRIÇÃO DO SERVIÇO</t>
  </si>
  <si>
    <t>TMO</t>
  </si>
  <si>
    <t xml:space="preserve">VALOR </t>
  </si>
  <si>
    <t xml:space="preserve"> DESC. </t>
  </si>
  <si>
    <t>QTD</t>
  </si>
  <si>
    <t>DESC</t>
  </si>
  <si>
    <t>VALOR DA VISTORIA TÉCNICA COMPLEMENTAR AO ESCOPO DE SERVIÇOS</t>
  </si>
  <si>
    <t>VALOR TOTAL DE PEÇAS</t>
  </si>
  <si>
    <t xml:space="preserve">VALOR TRANSPORTES EM KM                                   </t>
  </si>
  <si>
    <t>UNIDADE : 30º BPM/I</t>
  </si>
  <si>
    <t>CNPJ: 04.198.514./0071-67</t>
  </si>
  <si>
    <t>ENDEREÇO: RUA: OLIMPIA, 97 - VILA GUZZO - CATANDUVA/SP</t>
  </si>
  <si>
    <t>VALOR DO CONTRATO</t>
  </si>
  <si>
    <r>
      <t xml:space="preserve">                                               </t>
    </r>
    <r>
      <rPr>
        <sz val="11"/>
        <color rgb="FF000000"/>
        <rFont val="Calibri"/>
        <family val="2"/>
        <scheme val="minor"/>
      </rPr>
      <t>SECRETARIA DA SEGURANÇA PÚBLICA
                                                                       POLÍCIA MILITAR DO ESTADO DE SÃO PAULO
                                                                     COMANDO DE POLICIAMENTO DO INTERIOR-5
                                                                           UNIDADE GESTORA EXECUTORA 180160</t>
    </r>
  </si>
  <si>
    <t>FISCAL DO CONTRATO: LUCAS CESAR RIBEIRO OLHER</t>
  </si>
  <si>
    <t>TOTAL DE PEÇAS</t>
  </si>
  <si>
    <t>TOTAL GERAL</t>
  </si>
  <si>
    <t xml:space="preserve">         TOTAL DE SERVIÇOS</t>
  </si>
  <si>
    <t>CÓDIGO DA PEÇA (CÓDIGO ORIGINAL)</t>
  </si>
  <si>
    <t xml:space="preserve">DESCRIÇÃO </t>
  </si>
  <si>
    <t>VALOR UNIT´RIO REGISTRADO</t>
  </si>
  <si>
    <t>GRADE</t>
  </si>
  <si>
    <t>ANO:  2019</t>
  </si>
  <si>
    <t>CNPJ: 31.109.453/0001-84</t>
  </si>
  <si>
    <t>TELEFONE: : (17) 991749826</t>
  </si>
  <si>
    <t>ORÇAMENTISTA: JOAO GUILHERME NARDIN</t>
  </si>
  <si>
    <t>REPRESENTANTE LEGAL: JOAO GUILHERME NARDIN</t>
  </si>
  <si>
    <t>MARCA: CHEVROLET</t>
  </si>
  <si>
    <t>MODELO:  TRAILBLAZER/LT</t>
  </si>
  <si>
    <t>PLACA: FPP-0311</t>
  </si>
  <si>
    <t>PATRIMÔNIO:  219002748</t>
  </si>
  <si>
    <t>OPM DETENTORA: 30º BPMI-CFP</t>
  </si>
  <si>
    <t xml:space="preserve">                                                                                                                        JOÃO GUILHERME NARDIN</t>
  </si>
  <si>
    <t>PREFIXO:  I-30003</t>
  </si>
  <si>
    <t>ENDEREÇO: AV DA LUZ 1630 - JD MARACANÃ - SÃO JOSÉ DO RIO PRETO - SP</t>
  </si>
  <si>
    <t xml:space="preserve">SUSPENSAO DE UTILITARIO </t>
  </si>
  <si>
    <t>SUBSTITUIR AMORTECEDORES DIANTEIROS</t>
  </si>
  <si>
    <t xml:space="preserve">CHASSIS: 9BG156FK0LC407313   </t>
  </si>
  <si>
    <t>SUBS. COIFA DO SEMI EIXO DIANT. ESQUERDO</t>
  </si>
  <si>
    <t>SUB.MANGA DO EIXO DIANT DIREITO</t>
  </si>
  <si>
    <t>COIFA DO AMORTECEDOR DIANT</t>
  </si>
  <si>
    <t>CONJ. PISTÃO DO FREIO DIANT.</t>
  </si>
  <si>
    <t>DISCO DE FREIO DIANTEIRO</t>
  </si>
  <si>
    <t>HASTE DIR. DA BARRA ESTABILIZADORA</t>
  </si>
  <si>
    <t>BRAÇO OSCILANTE INF. DIANT. DIR</t>
  </si>
  <si>
    <t>HASTE ESQUERDA BARRA ESTABILIZADORA</t>
  </si>
  <si>
    <t>JOGO DE PASTILHAS DE FREIO DIANTEIRA</t>
  </si>
  <si>
    <t>JOGO DE VEDAÇÃO DO PISTÃO DO FREIO DIANTEIRO</t>
  </si>
  <si>
    <t>KIT FIXAÇÃO DA PINÇA DE FREIO DIANT</t>
  </si>
  <si>
    <t>PIVÔ BRAÇO OSCILANTE INF. DIANT. DIR</t>
  </si>
  <si>
    <t>PIVÔ BRAÇO OSCILANTE INF. DIANT. ESQ.</t>
  </si>
  <si>
    <t>PIVÔ BRAÇO OSCILANTE SUP. DIANT. DIR</t>
  </si>
  <si>
    <t>PIVÔ BRAÇO OSCILANTE SUP. DIANT. ESQ.</t>
  </si>
  <si>
    <t>RETENTOR DO ROLAMENTO DA RODA DIANT.</t>
  </si>
  <si>
    <t>TUBO VÁCUO DO SERVO DO FREIO</t>
  </si>
  <si>
    <t>BRAÇO OSCILANTE INF. DIANT. ESQ</t>
  </si>
  <si>
    <t>PINÇA DO FREIO DIANT. DIR.</t>
  </si>
  <si>
    <t>BRAÇO INFERIOR DA SUSP. TRAS. DIR.</t>
  </si>
  <si>
    <t>SUB. PONTA DO EIXO DIANT. DIREITA</t>
  </si>
  <si>
    <t>SUB. PONTA DO EIXO DIANTEIRA ESQUERDA</t>
  </si>
  <si>
    <t>SUB. BATENTE BRAÇO OSCILANTE SUP DIANT. DIREITO</t>
  </si>
  <si>
    <t>SUB. BATENTE BRAÇO OSCILANTE SUP DIANT. ESQUEDO</t>
  </si>
  <si>
    <t>SUB. BRAÇADEIRA DA BARRA ESTABILIZADORA DIANT.</t>
  </si>
  <si>
    <t>SUB. BUCHA ANTERIOR DO BRAÇO OSCILANTE INF. DIR.</t>
  </si>
  <si>
    <t>SUB. BUCHA ANTERIOR DO BRAÇO OSCILANTE INF. ESQ.</t>
  </si>
  <si>
    <t>SUB. AMORTECEDOR DIANT ESQUERDO</t>
  </si>
  <si>
    <t>SUB. BUCHA DA BARRA ESTABILIZADORA DIANT.</t>
  </si>
  <si>
    <t>SUB. BUCHA BRAÇO OSCILANTE SUP. DIR.</t>
  </si>
  <si>
    <t>BARRA DA TORÇÃO TRASEIRA</t>
  </si>
  <si>
    <t>DISCO DE FREIO TRASEIRO DIREITO E ESQUERDO</t>
  </si>
  <si>
    <t>BRAÇO OSCILANTE SUP. DIANT DIR.</t>
  </si>
  <si>
    <t>JG DE PASTILHAS DE FREIO TRAS.</t>
  </si>
  <si>
    <t>INTERCOOLER</t>
  </si>
  <si>
    <t>MANGUEIRA ENTRADA DO AR DO INTERCOOLER</t>
  </si>
  <si>
    <t>COMPRESSOR DE AR CONDICIONADO</t>
  </si>
  <si>
    <t>CONDENSADOR AR CONDICIONADO</t>
  </si>
  <si>
    <t>MANGUEIRA INF. DO RADIADOR</t>
  </si>
  <si>
    <t>MANGUEIRA SUPERIOR DO RADIADOR</t>
  </si>
  <si>
    <t>BRAÇO OSCILANTE SUP. DIANT ESQ.</t>
  </si>
  <si>
    <t>COIFA INTERNA DO SEMI EIXO DIANT. DIR</t>
  </si>
  <si>
    <t>SUB. BUCHA BRAÇO OSCILANTE SUP.ESQ.</t>
  </si>
  <si>
    <t>SUB. BUCHA POSTERIOR DO BRAÇO OSCILANTE INF. DIR.</t>
  </si>
  <si>
    <t>SUB. BUCHA POSTERIOR DO BRAÇO OSCILANTE INF. ESQ.</t>
  </si>
  <si>
    <t>SUB. BUCHA SUP. AMORTECEDOR DIANT</t>
  </si>
  <si>
    <t>FREIO UTILITÁRIO</t>
  </si>
  <si>
    <t>TRANSMISSÃO UTILITÁRIO</t>
  </si>
  <si>
    <t>ALIMENTAÇÃO UTILITÁRIO</t>
  </si>
  <si>
    <t>ARREFECIMENTO UTILITÁRIO</t>
  </si>
  <si>
    <t>CLIMATIZAÇÃO UTILITÁRIO</t>
  </si>
  <si>
    <t xml:space="preserve">REFERÊNCIA: ORDEM E EXECUÇÃO DE SERVIÇOS Nº 30º BPMI –   001/44/2026 </t>
  </si>
  <si>
    <t>KM: 277.655</t>
  </si>
  <si>
    <t xml:space="preserve">RAZÃO SOCIAL : J. G. NARDIN CAETANO EIRELI                               </t>
  </si>
  <si>
    <t>SUB.COIFA DO AMORTECEDOR DIANT</t>
  </si>
  <si>
    <t>SUB. CONJ. PISTÃO DO FREIO DIANT.</t>
  </si>
  <si>
    <t>SUB. DISCO DE FREIO DIANTEIRO</t>
  </si>
  <si>
    <t>SUB. HASTE DIR. DA BARRA ESTABILIZADORA</t>
  </si>
  <si>
    <t>SUB. HASTE ESQUERDA BARRA ESTABILIZADORA</t>
  </si>
  <si>
    <t>SUB. JOGO DE PASTILHAS DE FREIO DIANTEIRA</t>
  </si>
  <si>
    <t>SUB. JOGO DE VEDAÇÃO DO PISTÃO DO FREIO DIANTEIRO</t>
  </si>
  <si>
    <t>SUB. KIT FIXAÇÃO DA PINÇA DE FREIO DIANT</t>
  </si>
  <si>
    <t>SUB. PIVÔ BRAÇO OSCILANTE INF. DIANT. DIR</t>
  </si>
  <si>
    <t>SUB. PIVÔ BRAÇO OSCILANTE SUP. DIANT. DIR</t>
  </si>
  <si>
    <t>SUB. RETENTOR DO ROLAMENTO DA RODA DIANT.</t>
  </si>
  <si>
    <t>SUB. TUBO VÁCUO DO SERVO DO FREIO</t>
  </si>
  <si>
    <t>SUB. BRAÇO OSCILANTE INF. DIANT. ESQ</t>
  </si>
  <si>
    <t>SUB. PINÇA DO FREIO DIANT. DIR.</t>
  </si>
  <si>
    <t>SUB. AMORTECEDOR TRASEIRO DIR.</t>
  </si>
  <si>
    <t xml:space="preserve">SUB. AMORTECEDOR TRAEIRO ESQ. </t>
  </si>
  <si>
    <t>SUB. BRAÇO INFERIOR DA SUSP. TRAS. DIR.</t>
  </si>
  <si>
    <t>SUB. BRAÇO INFERIOR DA SUSP. TRAS. ESQ.</t>
  </si>
  <si>
    <t>SUB. BRAÇO SUP. DA SUSP. TRAS. DIR.</t>
  </si>
  <si>
    <t>SUB. BRAÇO SUP. DA SUSP. TRAS. ESQ.</t>
  </si>
  <si>
    <t>SUB. BARRA DA TORÇÃO TRASEIRA</t>
  </si>
  <si>
    <t>SUB. BRAÇO OSCILANTE SUP. DIANT DIR.</t>
  </si>
  <si>
    <t>SUB. HASTE DIR. DA BARRA ESTABILIZADORA TRASEIRA</t>
  </si>
  <si>
    <t>SUB. HASTE ESQ. DA BARRA ESTABILIZADORA TRASEIRA</t>
  </si>
  <si>
    <t>SUB. JG DE PASTILHAS DE FREIO TRAS.</t>
  </si>
  <si>
    <t>SUB. INTERCOOLER</t>
  </si>
  <si>
    <t>SUB. MANGUEIRA ENTRADA DO AR DO INTERCOOLER</t>
  </si>
  <si>
    <t>SUB. COMPRESSOR DE AR CONDICIONADO</t>
  </si>
  <si>
    <t>SUB. COIFA INTERNA DO SEMI EIXO DIANT. DIR</t>
  </si>
  <si>
    <t>SUB. COIFA EXT. DO SEMIEIXO DIANT ESQ.</t>
  </si>
  <si>
    <t>SUB. COIFA EXT. DO SEMIEIXO DIANT DIR.</t>
  </si>
  <si>
    <t>SUB. BRAÇO OSCILANTE SUP. DIANT ESQ.</t>
  </si>
  <si>
    <t>SUB. MANGUEIRA SUPERIOR DO RADIADOR</t>
  </si>
  <si>
    <t>SUB. MANGUEIRA INF. DO RADIADOR</t>
  </si>
  <si>
    <t>SUB. CONDENSADOR AR CONDICIONADO</t>
  </si>
  <si>
    <t>AMORTECEDOR DIANT. DIREITO</t>
  </si>
  <si>
    <t>COIFA DO SEMI EIXO DIANT. ESQUERDO</t>
  </si>
  <si>
    <t>MANGA DO EIXO DIANT DIREITO</t>
  </si>
  <si>
    <t>MANGA DO EIXO DIANT. ESQUERDO</t>
  </si>
  <si>
    <t>PONTA DO EIXO DIANT. DIREITA</t>
  </si>
  <si>
    <t>PONTA DO EIXO DIANTEIRA ESQUERDA</t>
  </si>
  <si>
    <t>BRAÇADEIRA DA BARRA ESTABILIZADORA DIANT.</t>
  </si>
  <si>
    <t>BUCHA ANTERIOR DO BRAÇO OSCILANTE INF. DIR.</t>
  </si>
  <si>
    <t>AMORTECEDOR DIANT ESQUERDO</t>
  </si>
  <si>
    <t>BUCHA DA BARRA ESTABILIZADORA DIANT.</t>
  </si>
  <si>
    <t>BATENTE BRAÇO OSCILANTE SUP DIANT. DIREITO E ESQUERDO</t>
  </si>
  <si>
    <t>BUCHA BRAÇO OSCILANTE SUP. DIRREITO E ESQUERDO</t>
  </si>
  <si>
    <t>BUCHA SUP. AMORTECEDOR DIANT</t>
  </si>
  <si>
    <t>BUCHA POSTERIOR DO BRAÇO OSCILANTE INF. DIREITA E ESQUERDA</t>
  </si>
  <si>
    <t>AMORTECEDOR TRASEIRO DIREITO E ESQUERDO</t>
  </si>
  <si>
    <t>BRAÇO SUP. DA SUSP. TRAS. DIREITA E ESQUERDA</t>
  </si>
  <si>
    <t>HASTE DA BARRA ESTABILIZADORA TRASEIRA DIREITA E ESQUERDA</t>
  </si>
  <si>
    <t>COIFA EXT. DO SEMIEIXO DIANT DIREITA E ESQUERDA</t>
  </si>
  <si>
    <t>VALOR TOTAL DE MÃO DE OBRA</t>
  </si>
  <si>
    <t xml:space="preserve">                                                                                                                              CATANDUVA, 24 DE ABRIL DE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</si>
</sst>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&quot;R$ &quot;* #,##0.00_-;&quot;-R$ &quot;* #,##0.00_-;_-&quot;R$ &quot;* \-??_-;_-@_-"/>
    <numFmt numFmtId="165" formatCode="_(&quot;R$ &quot;* #,##0.00_);_(&quot;R$ &quot;* \(#,##0.00\);_(&quot;R$ &quot;* \-??_);_(@_)"/>
    <numFmt numFmtId="166" formatCode="0.0%"/>
    <numFmt numFmtId="168" formatCode="&quot;R$&quot;\ #,##0.00"/>
  </numFmts>
  <fonts count="42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"/>
      <color rgb="FFFF000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name val="Arial"/>
      <family val="2"/>
      <charset val="1"/>
    </font>
    <font>
      <sz val="11"/>
      <color rgb="FFFF9900"/>
      <name val="Calibri"/>
      <family val="2"/>
      <charset val="1"/>
    </font>
    <font>
      <b/>
      <sz val="11"/>
      <name val="Arial"/>
      <family val="2"/>
      <charset val="1"/>
    </font>
    <font>
      <b/>
      <i/>
      <sz val="12"/>
      <color rgb="FFFFFFFF"/>
      <name val="Arial"/>
      <family val="2"/>
      <charset val="1"/>
    </font>
    <font>
      <sz val="8"/>
      <name val="Times New Roman"/>
      <family val="1"/>
      <charset val="1"/>
    </font>
    <font>
      <sz val="11"/>
      <color rgb="FF008000"/>
      <name val="Calibri"/>
      <family val="2"/>
      <charset val="1"/>
    </font>
    <font>
      <sz val="8"/>
      <color rgb="FF000000"/>
      <name val="Times New Roman"/>
      <family val="1"/>
      <charset val="1"/>
    </font>
    <font>
      <b/>
      <sz val="13"/>
      <color rgb="FF003366"/>
      <name val="Calibri"/>
      <family val="2"/>
      <charset val="1"/>
    </font>
    <font>
      <b/>
      <sz val="8"/>
      <name val="Times New Roman"/>
      <family val="1"/>
      <charset val="1"/>
    </font>
    <font>
      <b/>
      <sz val="15"/>
      <color rgb="FF003366"/>
      <name val="Calibri"/>
      <family val="2"/>
      <charset val="1"/>
    </font>
    <font>
      <sz val="11"/>
      <color rgb="FF000000"/>
      <name val="Times New Roman"/>
      <family val="1"/>
      <charset val="1"/>
    </font>
    <font>
      <sz val="10"/>
      <name val="Times New Roman"/>
      <family val="1"/>
      <charset val="1"/>
    </font>
    <font>
      <sz val="8"/>
      <name val="Tahoma"/>
      <family val="2"/>
      <charset val="1"/>
    </font>
    <font>
      <sz val="11"/>
      <color rgb="FF800080"/>
      <name val="Calibri"/>
      <family val="2"/>
      <charset val="1"/>
    </font>
    <font>
      <b/>
      <sz val="14"/>
      <color rgb="FF000000"/>
      <name val="Arial"/>
      <family val="2"/>
      <charset val="1"/>
    </font>
    <font>
      <b/>
      <sz val="12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10.5"/>
      <color rgb="FF000000"/>
      <name val="Calibri"/>
      <family val="2"/>
      <charset val="1"/>
    </font>
    <font>
      <b/>
      <sz val="22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Times New Roman"/>
      <family val="1"/>
    </font>
    <font>
      <b/>
      <sz val="20"/>
      <color rgb="FF000000"/>
      <name val="Calibri"/>
      <family val="2"/>
    </font>
    <font>
      <sz val="8"/>
      <name val="Times New Roman"/>
      <family val="1"/>
    </font>
    <font>
      <sz val="8"/>
      <color rgb="FF000000"/>
      <name val="Calibri"/>
      <family val="2"/>
      <charset val="1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b/>
      <sz val="8"/>
      <color rgb="FF000000"/>
      <name val="Calibri"/>
      <family val="2"/>
      <charset val="1"/>
    </font>
    <font>
      <b/>
      <sz val="8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8"/>
      <color rgb="FF000000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rgb="FFCCCCFF"/>
        <bgColor rgb="FFD9D9D9"/>
      </patternFill>
    </fill>
    <fill>
      <patternFill patternType="solid">
        <fgColor rgb="FFFF99CC"/>
        <bgColor rgb="FFD99694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2DCDB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D99694"/>
      </patternFill>
    </fill>
    <fill>
      <patternFill patternType="solid">
        <fgColor rgb="FF00FF00"/>
        <bgColor rgb="FF00B050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B05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D7E4BD"/>
      </patternFill>
    </fill>
    <fill>
      <patternFill patternType="solid">
        <fgColor rgb="FFD9D9D9"/>
        <bgColor rgb="FFD7E4BD"/>
      </patternFill>
    </fill>
    <fill>
      <patternFill patternType="solid">
        <fgColor rgb="FFFFFFFF"/>
        <bgColor rgb="FFCCFFFF"/>
      </patternFill>
    </fill>
    <fill>
      <patternFill patternType="solid">
        <fgColor theme="0" tint="-0.14999847407452621"/>
        <bgColor rgb="FF339966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249977111117893"/>
        <bgColor rgb="FFD9D9D9"/>
      </patternFill>
    </fill>
    <fill>
      <patternFill patternType="solid">
        <fgColor theme="2" tint="-0.249977111117893"/>
        <bgColor rgb="FF339966"/>
      </patternFill>
    </fill>
    <fill>
      <patternFill patternType="solid">
        <fgColor theme="2" tint="-0.249977111117893"/>
        <bgColor rgb="FFCCFFFF"/>
      </patternFill>
    </fill>
    <fill>
      <patternFill patternType="solid">
        <fgColor theme="0"/>
        <bgColor rgb="FFD7E4BD"/>
      </patternFill>
    </fill>
  </fills>
  <borders count="2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434">
    <xf numFmtId="0" fontId="0" fillId="0" borderId="0"/>
    <xf numFmtId="164" fontId="24" fillId="0" borderId="0"/>
    <xf numFmtId="0" fontId="24" fillId="2" borderId="0"/>
    <xf numFmtId="0" fontId="2" fillId="2" borderId="0"/>
    <xf numFmtId="0" fontId="3" fillId="2" borderId="0"/>
    <xf numFmtId="0" fontId="24" fillId="3" borderId="0"/>
    <xf numFmtId="0" fontId="2" fillId="3" borderId="0"/>
    <xf numFmtId="0" fontId="3" fillId="3" borderId="0"/>
    <xf numFmtId="0" fontId="24" fillId="4" borderId="0"/>
    <xf numFmtId="0" fontId="2" fillId="4" borderId="0"/>
    <xf numFmtId="0" fontId="3" fillId="4" borderId="0"/>
    <xf numFmtId="0" fontId="24" fillId="5" borderId="0"/>
    <xf numFmtId="0" fontId="2" fillId="5" borderId="0"/>
    <xf numFmtId="0" fontId="3" fillId="5" borderId="0"/>
    <xf numFmtId="0" fontId="24" fillId="6" borderId="0"/>
    <xf numFmtId="0" fontId="2" fillId="6" borderId="0"/>
    <xf numFmtId="0" fontId="3" fillId="6" borderId="0"/>
    <xf numFmtId="0" fontId="24" fillId="7" borderId="0"/>
    <xf numFmtId="0" fontId="2" fillId="7" borderId="0"/>
    <xf numFmtId="0" fontId="3" fillId="7" borderId="0"/>
    <xf numFmtId="0" fontId="24" fillId="8" borderId="0"/>
    <xf numFmtId="0" fontId="2" fillId="8" borderId="0"/>
    <xf numFmtId="0" fontId="3" fillId="8" borderId="0"/>
    <xf numFmtId="0" fontId="24" fillId="9" borderId="0"/>
    <xf numFmtId="0" fontId="2" fillId="9" borderId="0"/>
    <xf numFmtId="0" fontId="3" fillId="9" borderId="0"/>
    <xf numFmtId="0" fontId="24" fillId="10" borderId="0"/>
    <xf numFmtId="0" fontId="2" fillId="10" borderId="0"/>
    <xf numFmtId="0" fontId="3" fillId="10" borderId="0"/>
    <xf numFmtId="0" fontId="24" fillId="5" borderId="0"/>
    <xf numFmtId="0" fontId="2" fillId="5" borderId="0"/>
    <xf numFmtId="0" fontId="3" fillId="5" borderId="0"/>
    <xf numFmtId="0" fontId="24" fillId="8" borderId="0"/>
    <xf numFmtId="0" fontId="2" fillId="8" borderId="0"/>
    <xf numFmtId="0" fontId="3" fillId="8" borderId="0"/>
    <xf numFmtId="0" fontId="24" fillId="11" borderId="0"/>
    <xf numFmtId="0" fontId="2" fillId="11" borderId="0"/>
    <xf numFmtId="0" fontId="3" fillId="11" borderId="0"/>
    <xf numFmtId="0" fontId="4" fillId="12" borderId="0"/>
    <xf numFmtId="0" fontId="5" fillId="12" borderId="0"/>
    <xf numFmtId="0" fontId="3" fillId="12" borderId="0"/>
    <xf numFmtId="0" fontId="6" fillId="12" borderId="0"/>
    <xf numFmtId="0" fontId="7" fillId="12" borderId="0"/>
    <xf numFmtId="0" fontId="8" fillId="12" borderId="0"/>
    <xf numFmtId="0" fontId="9" fillId="12" borderId="0"/>
    <xf numFmtId="0" fontId="6" fillId="12" borderId="0"/>
    <xf numFmtId="0" fontId="7" fillId="12" borderId="0"/>
    <xf numFmtId="0" fontId="8" fillId="12" borderId="0"/>
    <xf numFmtId="0" fontId="9" fillId="12" borderId="0"/>
    <xf numFmtId="0" fontId="6" fillId="12" borderId="0"/>
    <xf numFmtId="0" fontId="7" fillId="12" borderId="0"/>
    <xf numFmtId="0" fontId="8" fillId="12" borderId="0"/>
    <xf numFmtId="0" fontId="9" fillId="12" borderId="0"/>
    <xf numFmtId="0" fontId="6" fillId="12" borderId="0"/>
    <xf numFmtId="0" fontId="7" fillId="12" borderId="0"/>
    <xf numFmtId="0" fontId="8" fillId="12" borderId="0"/>
    <xf numFmtId="0" fontId="9" fillId="12" borderId="0"/>
    <xf numFmtId="0" fontId="6" fillId="12" borderId="0"/>
    <xf numFmtId="0" fontId="7" fillId="12" borderId="0"/>
    <xf numFmtId="0" fontId="8" fillId="12" borderId="0"/>
    <xf numFmtId="0" fontId="9" fillId="12" borderId="0"/>
    <xf numFmtId="0" fontId="6" fillId="12" borderId="0"/>
    <xf numFmtId="0" fontId="7" fillId="12" borderId="0"/>
    <xf numFmtId="0" fontId="8" fillId="12" borderId="0"/>
    <xf numFmtId="0" fontId="9" fillId="12" borderId="0"/>
    <xf numFmtId="0" fontId="6" fillId="12" borderId="0"/>
    <xf numFmtId="0" fontId="7" fillId="12" borderId="0"/>
    <xf numFmtId="0" fontId="8" fillId="12" borderId="0"/>
    <xf numFmtId="0" fontId="9" fillId="12" borderId="0"/>
    <xf numFmtId="0" fontId="7" fillId="12" borderId="0"/>
    <xf numFmtId="0" fontId="5" fillId="12" borderId="0"/>
    <xf numFmtId="0" fontId="4" fillId="9" borderId="0"/>
    <xf numFmtId="0" fontId="5" fillId="9" borderId="0"/>
    <xf numFmtId="0" fontId="3" fillId="9" borderId="0"/>
    <xf numFmtId="0" fontId="6" fillId="9" borderId="0"/>
    <xf numFmtId="0" fontId="7" fillId="9" borderId="0"/>
    <xf numFmtId="0" fontId="8" fillId="9" borderId="0"/>
    <xf numFmtId="0" fontId="9" fillId="9" borderId="0"/>
    <xf numFmtId="0" fontId="6" fillId="9" borderId="0"/>
    <xf numFmtId="0" fontId="7" fillId="9" borderId="0"/>
    <xf numFmtId="0" fontId="8" fillId="9" borderId="0"/>
    <xf numFmtId="0" fontId="9" fillId="9" borderId="0"/>
    <xf numFmtId="0" fontId="6" fillId="9" borderId="0"/>
    <xf numFmtId="0" fontId="7" fillId="9" borderId="0"/>
    <xf numFmtId="0" fontId="8" fillId="9" borderId="0"/>
    <xf numFmtId="0" fontId="9" fillId="9" borderId="0"/>
    <xf numFmtId="0" fontId="6" fillId="9" borderId="0"/>
    <xf numFmtId="0" fontId="7" fillId="9" borderId="0"/>
    <xf numFmtId="0" fontId="8" fillId="9" borderId="0"/>
    <xf numFmtId="0" fontId="9" fillId="9" borderId="0"/>
    <xf numFmtId="0" fontId="6" fillId="9" borderId="0"/>
    <xf numFmtId="0" fontId="7" fillId="9" borderId="0"/>
    <xf numFmtId="0" fontId="8" fillId="9" borderId="0"/>
    <xf numFmtId="0" fontId="9" fillId="9" borderId="0"/>
    <xf numFmtId="0" fontId="6" fillId="9" borderId="0"/>
    <xf numFmtId="0" fontId="7" fillId="9" borderId="0"/>
    <xf numFmtId="0" fontId="8" fillId="9" borderId="0"/>
    <xf numFmtId="0" fontId="9" fillId="9" borderId="0"/>
    <xf numFmtId="0" fontId="6" fillId="9" borderId="0"/>
    <xf numFmtId="0" fontId="7" fillId="9" borderId="0"/>
    <xf numFmtId="0" fontId="8" fillId="9" borderId="0"/>
    <xf numFmtId="0" fontId="9" fillId="9" borderId="0"/>
    <xf numFmtId="0" fontId="7" fillId="9" borderId="0"/>
    <xf numFmtId="0" fontId="5" fillId="9" borderId="0"/>
    <xf numFmtId="0" fontId="4" fillId="10" borderId="0"/>
    <xf numFmtId="0" fontId="5" fillId="10" borderId="0"/>
    <xf numFmtId="0" fontId="3" fillId="10" borderId="0"/>
    <xf numFmtId="0" fontId="6" fillId="10" borderId="0"/>
    <xf numFmtId="0" fontId="7" fillId="10" borderId="0"/>
    <xf numFmtId="0" fontId="8" fillId="10" borderId="0"/>
    <xf numFmtId="0" fontId="9" fillId="10" borderId="0"/>
    <xf numFmtId="0" fontId="6" fillId="10" borderId="0"/>
    <xf numFmtId="0" fontId="7" fillId="10" borderId="0"/>
    <xf numFmtId="0" fontId="8" fillId="10" borderId="0"/>
    <xf numFmtId="0" fontId="9" fillId="10" borderId="0"/>
    <xf numFmtId="0" fontId="6" fillId="10" borderId="0"/>
    <xf numFmtId="0" fontId="7" fillId="10" borderId="0"/>
    <xf numFmtId="0" fontId="8" fillId="10" borderId="0"/>
    <xf numFmtId="0" fontId="9" fillId="10" borderId="0"/>
    <xf numFmtId="0" fontId="6" fillId="10" borderId="0"/>
    <xf numFmtId="0" fontId="7" fillId="10" borderId="0"/>
    <xf numFmtId="0" fontId="8" fillId="10" borderId="0"/>
    <xf numFmtId="0" fontId="9" fillId="10" borderId="0"/>
    <xf numFmtId="0" fontId="6" fillId="10" borderId="0"/>
    <xf numFmtId="0" fontId="7" fillId="10" borderId="0"/>
    <xf numFmtId="0" fontId="8" fillId="10" borderId="0"/>
    <xf numFmtId="0" fontId="9" fillId="10" borderId="0"/>
    <xf numFmtId="0" fontId="6" fillId="10" borderId="0"/>
    <xf numFmtId="0" fontId="7" fillId="10" borderId="0"/>
    <xf numFmtId="0" fontId="8" fillId="10" borderId="0"/>
    <xf numFmtId="0" fontId="9" fillId="10" borderId="0"/>
    <xf numFmtId="0" fontId="6" fillId="10" borderId="0"/>
    <xf numFmtId="0" fontId="7" fillId="10" borderId="0"/>
    <xf numFmtId="0" fontId="8" fillId="10" borderId="0"/>
    <xf numFmtId="0" fontId="9" fillId="10" borderId="0"/>
    <xf numFmtId="0" fontId="7" fillId="10" borderId="0"/>
    <xf numFmtId="0" fontId="5" fillId="10" borderId="0"/>
    <xf numFmtId="0" fontId="4" fillId="13" borderId="0"/>
    <xf numFmtId="0" fontId="5" fillId="13" borderId="0"/>
    <xf numFmtId="0" fontId="3" fillId="13" borderId="0"/>
    <xf numFmtId="0" fontId="6" fillId="13" borderId="0"/>
    <xf numFmtId="0" fontId="7" fillId="13" borderId="0"/>
    <xf numFmtId="0" fontId="8" fillId="13" borderId="0"/>
    <xf numFmtId="0" fontId="9" fillId="13" borderId="0"/>
    <xf numFmtId="0" fontId="6" fillId="13" borderId="0"/>
    <xf numFmtId="0" fontId="7" fillId="13" borderId="0"/>
    <xf numFmtId="0" fontId="8" fillId="13" borderId="0"/>
    <xf numFmtId="0" fontId="9" fillId="13" borderId="0"/>
    <xf numFmtId="0" fontId="6" fillId="13" borderId="0"/>
    <xf numFmtId="0" fontId="7" fillId="13" borderId="0"/>
    <xf numFmtId="0" fontId="8" fillId="13" borderId="0"/>
    <xf numFmtId="0" fontId="9" fillId="13" borderId="0"/>
    <xf numFmtId="0" fontId="6" fillId="13" borderId="0"/>
    <xf numFmtId="0" fontId="7" fillId="13" borderId="0"/>
    <xf numFmtId="0" fontId="8" fillId="13" borderId="0"/>
    <xf numFmtId="0" fontId="9" fillId="13" borderId="0"/>
    <xf numFmtId="0" fontId="6" fillId="13" borderId="0"/>
    <xf numFmtId="0" fontId="7" fillId="13" borderId="0"/>
    <xf numFmtId="0" fontId="8" fillId="13" borderId="0"/>
    <xf numFmtId="0" fontId="9" fillId="13" borderId="0"/>
    <xf numFmtId="0" fontId="6" fillId="13" borderId="0"/>
    <xf numFmtId="0" fontId="7" fillId="13" borderId="0"/>
    <xf numFmtId="0" fontId="8" fillId="13" borderId="0"/>
    <xf numFmtId="0" fontId="9" fillId="13" borderId="0"/>
    <xf numFmtId="0" fontId="6" fillId="13" borderId="0"/>
    <xf numFmtId="0" fontId="7" fillId="13" borderId="0"/>
    <xf numFmtId="0" fontId="8" fillId="13" borderId="0"/>
    <xf numFmtId="0" fontId="9" fillId="13" borderId="0"/>
    <xf numFmtId="0" fontId="7" fillId="13" borderId="0"/>
    <xf numFmtId="0" fontId="5" fillId="13" borderId="0"/>
    <xf numFmtId="0" fontId="4" fillId="14" borderId="0"/>
    <xf numFmtId="0" fontId="5" fillId="14" borderId="0"/>
    <xf numFmtId="0" fontId="3" fillId="14" borderId="0"/>
    <xf numFmtId="0" fontId="6" fillId="14" borderId="0"/>
    <xf numFmtId="0" fontId="7" fillId="14" borderId="0"/>
    <xf numFmtId="0" fontId="8" fillId="14" borderId="0"/>
    <xf numFmtId="0" fontId="9" fillId="14" borderId="0"/>
    <xf numFmtId="0" fontId="6" fillId="14" borderId="0"/>
    <xf numFmtId="0" fontId="7" fillId="14" borderId="0"/>
    <xf numFmtId="0" fontId="8" fillId="14" borderId="0"/>
    <xf numFmtId="0" fontId="9" fillId="14" borderId="0"/>
    <xf numFmtId="0" fontId="6" fillId="14" borderId="0"/>
    <xf numFmtId="0" fontId="7" fillId="14" borderId="0"/>
    <xf numFmtId="0" fontId="8" fillId="14" borderId="0"/>
    <xf numFmtId="0" fontId="9" fillId="14" borderId="0"/>
    <xf numFmtId="0" fontId="6" fillId="14" borderId="0"/>
    <xf numFmtId="0" fontId="7" fillId="14" borderId="0"/>
    <xf numFmtId="0" fontId="8" fillId="14" borderId="0"/>
    <xf numFmtId="0" fontId="9" fillId="14" borderId="0"/>
    <xf numFmtId="0" fontId="6" fillId="14" borderId="0"/>
    <xf numFmtId="0" fontId="7" fillId="14" borderId="0"/>
    <xf numFmtId="0" fontId="8" fillId="14" borderId="0"/>
    <xf numFmtId="0" fontId="9" fillId="14" borderId="0"/>
    <xf numFmtId="0" fontId="6" fillId="14" borderId="0"/>
    <xf numFmtId="0" fontId="7" fillId="14" borderId="0"/>
    <xf numFmtId="0" fontId="8" fillId="14" borderId="0"/>
    <xf numFmtId="0" fontId="9" fillId="14" borderId="0"/>
    <xf numFmtId="0" fontId="6" fillId="14" borderId="0"/>
    <xf numFmtId="0" fontId="7" fillId="14" borderId="0"/>
    <xf numFmtId="0" fontId="8" fillId="14" borderId="0"/>
    <xf numFmtId="0" fontId="9" fillId="14" borderId="0"/>
    <xf numFmtId="0" fontId="7" fillId="14" borderId="0"/>
    <xf numFmtId="0" fontId="5" fillId="14" borderId="0"/>
    <xf numFmtId="0" fontId="4" fillId="15" borderId="0"/>
    <xf numFmtId="0" fontId="5" fillId="15" borderId="0"/>
    <xf numFmtId="0" fontId="3" fillId="15" borderId="0"/>
    <xf numFmtId="0" fontId="6" fillId="15" borderId="0"/>
    <xf numFmtId="0" fontId="7" fillId="15" borderId="0"/>
    <xf numFmtId="0" fontId="8" fillId="15" borderId="0"/>
    <xf numFmtId="0" fontId="9" fillId="15" borderId="0"/>
    <xf numFmtId="0" fontId="6" fillId="15" borderId="0"/>
    <xf numFmtId="0" fontId="7" fillId="15" borderId="0"/>
    <xf numFmtId="0" fontId="8" fillId="15" borderId="0"/>
    <xf numFmtId="0" fontId="9" fillId="15" borderId="0"/>
    <xf numFmtId="0" fontId="6" fillId="15" borderId="0"/>
    <xf numFmtId="0" fontId="7" fillId="15" borderId="0"/>
    <xf numFmtId="0" fontId="8" fillId="15" borderId="0"/>
    <xf numFmtId="0" fontId="9" fillId="15" borderId="0"/>
    <xf numFmtId="0" fontId="6" fillId="15" borderId="0"/>
    <xf numFmtId="0" fontId="7" fillId="15" borderId="0"/>
    <xf numFmtId="0" fontId="8" fillId="15" borderId="0"/>
    <xf numFmtId="0" fontId="9" fillId="15" borderId="0"/>
    <xf numFmtId="0" fontId="6" fillId="15" borderId="0"/>
    <xf numFmtId="0" fontId="7" fillId="15" borderId="0"/>
    <xf numFmtId="0" fontId="8" fillId="15" borderId="0"/>
    <xf numFmtId="0" fontId="9" fillId="15" borderId="0"/>
    <xf numFmtId="0" fontId="6" fillId="15" borderId="0"/>
    <xf numFmtId="0" fontId="7" fillId="15" borderId="0"/>
    <xf numFmtId="0" fontId="8" fillId="15" borderId="0"/>
    <xf numFmtId="0" fontId="9" fillId="15" borderId="0"/>
    <xf numFmtId="0" fontId="6" fillId="15" borderId="0"/>
    <xf numFmtId="0" fontId="7" fillId="15" borderId="0"/>
    <xf numFmtId="0" fontId="8" fillId="15" borderId="0"/>
    <xf numFmtId="0" fontId="9" fillId="15" borderId="0"/>
    <xf numFmtId="0" fontId="7" fillId="15" borderId="0"/>
    <xf numFmtId="0" fontId="5" fillId="15" borderId="0"/>
    <xf numFmtId="0" fontId="4" fillId="16" borderId="0"/>
    <xf numFmtId="0" fontId="5" fillId="16" borderId="0"/>
    <xf numFmtId="0" fontId="3" fillId="16" borderId="0"/>
    <xf numFmtId="0" fontId="6" fillId="16" borderId="0"/>
    <xf numFmtId="0" fontId="7" fillId="16" borderId="0"/>
    <xf numFmtId="0" fontId="8" fillId="16" borderId="0"/>
    <xf numFmtId="0" fontId="9" fillId="16" borderId="0"/>
    <xf numFmtId="0" fontId="6" fillId="16" borderId="0"/>
    <xf numFmtId="0" fontId="7" fillId="16" borderId="0"/>
    <xf numFmtId="0" fontId="8" fillId="16" borderId="0"/>
    <xf numFmtId="0" fontId="9" fillId="16" borderId="0"/>
    <xf numFmtId="0" fontId="6" fillId="16" borderId="0"/>
    <xf numFmtId="0" fontId="7" fillId="16" borderId="0"/>
    <xf numFmtId="0" fontId="8" fillId="16" borderId="0"/>
    <xf numFmtId="0" fontId="9" fillId="16" borderId="0"/>
    <xf numFmtId="0" fontId="6" fillId="16" borderId="0"/>
    <xf numFmtId="0" fontId="7" fillId="16" borderId="0"/>
    <xf numFmtId="0" fontId="8" fillId="16" borderId="0"/>
    <xf numFmtId="0" fontId="9" fillId="16" borderId="0"/>
    <xf numFmtId="0" fontId="6" fillId="16" borderId="0"/>
    <xf numFmtId="0" fontId="7" fillId="16" borderId="0"/>
    <xf numFmtId="0" fontId="8" fillId="16" borderId="0"/>
    <xf numFmtId="0" fontId="9" fillId="16" borderId="0"/>
    <xf numFmtId="0" fontId="6" fillId="16" borderId="0"/>
    <xf numFmtId="0" fontId="7" fillId="16" borderId="0"/>
    <xf numFmtId="0" fontId="8" fillId="16" borderId="0"/>
    <xf numFmtId="0" fontId="9" fillId="16" borderId="0"/>
    <xf numFmtId="0" fontId="6" fillId="16" borderId="0"/>
    <xf numFmtId="0" fontId="7" fillId="16" borderId="0"/>
    <xf numFmtId="0" fontId="8" fillId="16" borderId="0"/>
    <xf numFmtId="0" fontId="9" fillId="16" borderId="0"/>
    <xf numFmtId="0" fontId="7" fillId="16" borderId="0"/>
    <xf numFmtId="0" fontId="5" fillId="16" borderId="0"/>
    <xf numFmtId="0" fontId="4" fillId="17" borderId="0"/>
    <xf numFmtId="0" fontId="5" fillId="17" borderId="0"/>
    <xf numFmtId="0" fontId="3" fillId="17" borderId="0"/>
    <xf numFmtId="0" fontId="6" fillId="17" borderId="0"/>
    <xf numFmtId="0" fontId="7" fillId="17" borderId="0"/>
    <xf numFmtId="0" fontId="8" fillId="17" borderId="0"/>
    <xf numFmtId="0" fontId="9" fillId="17" borderId="0"/>
    <xf numFmtId="0" fontId="6" fillId="17" borderId="0"/>
    <xf numFmtId="0" fontId="7" fillId="17" borderId="0"/>
    <xf numFmtId="0" fontId="8" fillId="17" borderId="0"/>
    <xf numFmtId="0" fontId="9" fillId="17" borderId="0"/>
    <xf numFmtId="0" fontId="6" fillId="17" borderId="0"/>
    <xf numFmtId="0" fontId="7" fillId="17" borderId="0"/>
    <xf numFmtId="0" fontId="8" fillId="17" borderId="0"/>
    <xf numFmtId="0" fontId="9" fillId="17" borderId="0"/>
    <xf numFmtId="0" fontId="6" fillId="17" borderId="0"/>
    <xf numFmtId="0" fontId="7" fillId="17" borderId="0"/>
    <xf numFmtId="0" fontId="8" fillId="17" borderId="0"/>
    <xf numFmtId="0" fontId="9" fillId="17" borderId="0"/>
    <xf numFmtId="0" fontId="6" fillId="17" borderId="0"/>
    <xf numFmtId="0" fontId="7" fillId="17" borderId="0"/>
    <xf numFmtId="0" fontId="8" fillId="17" borderId="0"/>
    <xf numFmtId="0" fontId="9" fillId="17" borderId="0"/>
    <xf numFmtId="0" fontId="6" fillId="17" borderId="0"/>
    <xf numFmtId="0" fontId="7" fillId="17" borderId="0"/>
    <xf numFmtId="0" fontId="8" fillId="17" borderId="0"/>
    <xf numFmtId="0" fontId="9" fillId="17" borderId="0"/>
    <xf numFmtId="0" fontId="6" fillId="17" borderId="0"/>
    <xf numFmtId="0" fontId="7" fillId="17" borderId="0"/>
    <xf numFmtId="0" fontId="8" fillId="17" borderId="0"/>
    <xf numFmtId="0" fontId="9" fillId="17" borderId="0"/>
    <xf numFmtId="0" fontId="7" fillId="17" borderId="0"/>
    <xf numFmtId="0" fontId="5" fillId="17" borderId="0"/>
    <xf numFmtId="0" fontId="4" fillId="18" borderId="0"/>
    <xf numFmtId="0" fontId="5" fillId="18" borderId="0"/>
    <xf numFmtId="0" fontId="3" fillId="18" borderId="0"/>
    <xf numFmtId="0" fontId="6" fillId="18" borderId="0"/>
    <xf numFmtId="0" fontId="7" fillId="18" borderId="0"/>
    <xf numFmtId="0" fontId="8" fillId="18" borderId="0"/>
    <xf numFmtId="0" fontId="9" fillId="18" borderId="0"/>
    <xf numFmtId="0" fontId="6" fillId="18" borderId="0"/>
    <xf numFmtId="0" fontId="7" fillId="18" borderId="0"/>
    <xf numFmtId="0" fontId="8" fillId="18" borderId="0"/>
    <xf numFmtId="0" fontId="9" fillId="18" borderId="0"/>
    <xf numFmtId="0" fontId="6" fillId="18" borderId="0"/>
    <xf numFmtId="0" fontId="7" fillId="18" borderId="0"/>
    <xf numFmtId="0" fontId="8" fillId="18" borderId="0"/>
    <xf numFmtId="0" fontId="9" fillId="18" borderId="0"/>
    <xf numFmtId="0" fontId="6" fillId="18" borderId="0"/>
    <xf numFmtId="0" fontId="7" fillId="18" borderId="0"/>
    <xf numFmtId="0" fontId="8" fillId="18" borderId="0"/>
    <xf numFmtId="0" fontId="9" fillId="18" borderId="0"/>
    <xf numFmtId="0" fontId="6" fillId="18" borderId="0"/>
    <xf numFmtId="0" fontId="7" fillId="18" borderId="0"/>
    <xf numFmtId="0" fontId="8" fillId="18" borderId="0"/>
    <xf numFmtId="0" fontId="9" fillId="18" borderId="0"/>
    <xf numFmtId="0" fontId="6" fillId="18" borderId="0"/>
    <xf numFmtId="0" fontId="7" fillId="18" borderId="0"/>
    <xf numFmtId="0" fontId="8" fillId="18" borderId="0"/>
    <xf numFmtId="0" fontId="9" fillId="18" borderId="0"/>
    <xf numFmtId="0" fontId="6" fillId="18" borderId="0"/>
    <xf numFmtId="0" fontId="7" fillId="18" borderId="0"/>
    <xf numFmtId="0" fontId="8" fillId="18" borderId="0"/>
    <xf numFmtId="0" fontId="9" fillId="18" borderId="0"/>
    <xf numFmtId="0" fontId="7" fillId="18" borderId="0"/>
    <xf numFmtId="0" fontId="5" fillId="18" borderId="0"/>
    <xf numFmtId="0" fontId="4" fillId="13" borderId="0"/>
    <xf numFmtId="0" fontId="5" fillId="13" borderId="0"/>
    <xf numFmtId="0" fontId="3" fillId="13" borderId="0"/>
    <xf numFmtId="0" fontId="6" fillId="13" borderId="0"/>
    <xf numFmtId="0" fontId="7" fillId="13" borderId="0"/>
    <xf numFmtId="0" fontId="8" fillId="13" borderId="0"/>
    <xf numFmtId="0" fontId="9" fillId="13" borderId="0"/>
    <xf numFmtId="0" fontId="6" fillId="13" borderId="0"/>
    <xf numFmtId="0" fontId="7" fillId="13" borderId="0"/>
    <xf numFmtId="0" fontId="8" fillId="13" borderId="0"/>
    <xf numFmtId="0" fontId="9" fillId="13" borderId="0"/>
    <xf numFmtId="0" fontId="6" fillId="13" borderId="0"/>
    <xf numFmtId="0" fontId="7" fillId="13" borderId="0"/>
    <xf numFmtId="0" fontId="8" fillId="13" borderId="0"/>
    <xf numFmtId="0" fontId="9" fillId="13" borderId="0"/>
    <xf numFmtId="0" fontId="6" fillId="13" borderId="0"/>
    <xf numFmtId="0" fontId="7" fillId="13" borderId="0"/>
    <xf numFmtId="0" fontId="8" fillId="13" borderId="0"/>
    <xf numFmtId="0" fontId="9" fillId="13" borderId="0"/>
    <xf numFmtId="0" fontId="6" fillId="13" borderId="0"/>
    <xf numFmtId="0" fontId="7" fillId="13" borderId="0"/>
    <xf numFmtId="0" fontId="8" fillId="13" borderId="0"/>
    <xf numFmtId="0" fontId="9" fillId="13" borderId="0"/>
    <xf numFmtId="0" fontId="6" fillId="13" borderId="0"/>
    <xf numFmtId="0" fontId="7" fillId="13" borderId="0"/>
    <xf numFmtId="0" fontId="8" fillId="13" borderId="0"/>
    <xf numFmtId="0" fontId="9" fillId="13" borderId="0"/>
    <xf numFmtId="0" fontId="6" fillId="13" borderId="0"/>
    <xf numFmtId="0" fontId="7" fillId="13" borderId="0"/>
    <xf numFmtId="0" fontId="8" fillId="13" borderId="0"/>
    <xf numFmtId="0" fontId="9" fillId="13" borderId="0"/>
    <xf numFmtId="0" fontId="7" fillId="13" borderId="0"/>
    <xf numFmtId="0" fontId="5" fillId="13" borderId="0"/>
    <xf numFmtId="0" fontId="4" fillId="14" borderId="0"/>
    <xf numFmtId="0" fontId="5" fillId="14" borderId="0"/>
    <xf numFmtId="0" fontId="3" fillId="14" borderId="0"/>
    <xf numFmtId="0" fontId="6" fillId="14" borderId="0"/>
    <xf numFmtId="0" fontId="7" fillId="14" borderId="0"/>
    <xf numFmtId="0" fontId="8" fillId="14" borderId="0"/>
    <xf numFmtId="0" fontId="9" fillId="14" borderId="0"/>
    <xf numFmtId="0" fontId="6" fillId="14" borderId="0"/>
    <xf numFmtId="0" fontId="7" fillId="14" borderId="0"/>
    <xf numFmtId="0" fontId="8" fillId="14" borderId="0"/>
    <xf numFmtId="0" fontId="9" fillId="14" borderId="0"/>
    <xf numFmtId="0" fontId="6" fillId="14" borderId="0"/>
    <xf numFmtId="0" fontId="7" fillId="14" borderId="0"/>
    <xf numFmtId="0" fontId="8" fillId="14" borderId="0"/>
    <xf numFmtId="0" fontId="9" fillId="14" borderId="0"/>
    <xf numFmtId="0" fontId="6" fillId="14" borderId="0"/>
    <xf numFmtId="0" fontId="7" fillId="14" borderId="0"/>
    <xf numFmtId="0" fontId="8" fillId="14" borderId="0"/>
    <xf numFmtId="0" fontId="9" fillId="14" borderId="0"/>
    <xf numFmtId="0" fontId="6" fillId="14" borderId="0"/>
    <xf numFmtId="0" fontId="7" fillId="14" borderId="0"/>
    <xf numFmtId="0" fontId="8" fillId="14" borderId="0"/>
    <xf numFmtId="0" fontId="9" fillId="14" borderId="0"/>
    <xf numFmtId="0" fontId="6" fillId="14" borderId="0"/>
    <xf numFmtId="0" fontId="7" fillId="14" borderId="0"/>
    <xf numFmtId="0" fontId="8" fillId="14" borderId="0"/>
    <xf numFmtId="0" fontId="9" fillId="14" borderId="0"/>
    <xf numFmtId="0" fontId="6" fillId="14" borderId="0"/>
    <xf numFmtId="0" fontId="7" fillId="14" borderId="0"/>
    <xf numFmtId="0" fontId="8" fillId="14" borderId="0"/>
    <xf numFmtId="0" fontId="9" fillId="14" borderId="0"/>
    <xf numFmtId="0" fontId="7" fillId="14" borderId="0"/>
    <xf numFmtId="0" fontId="5" fillId="14" borderId="0"/>
    <xf numFmtId="0" fontId="4" fillId="19" borderId="0"/>
    <xf numFmtId="0" fontId="5" fillId="19" borderId="0"/>
    <xf numFmtId="0" fontId="3" fillId="19" borderId="0"/>
    <xf numFmtId="0" fontId="6" fillId="19" borderId="0"/>
    <xf numFmtId="0" fontId="7" fillId="19" borderId="0"/>
    <xf numFmtId="0" fontId="8" fillId="19" borderId="0"/>
    <xf numFmtId="0" fontId="9" fillId="19" borderId="0"/>
    <xf numFmtId="0" fontId="6" fillId="19" borderId="0"/>
    <xf numFmtId="0" fontId="7" fillId="19" borderId="0"/>
    <xf numFmtId="0" fontId="8" fillId="19" borderId="0"/>
    <xf numFmtId="0" fontId="9" fillId="19" borderId="0"/>
    <xf numFmtId="0" fontId="6" fillId="19" borderId="0"/>
    <xf numFmtId="0" fontId="7" fillId="19" borderId="0"/>
    <xf numFmtId="0" fontId="8" fillId="19" borderId="0"/>
    <xf numFmtId="0" fontId="9" fillId="19" borderId="0"/>
    <xf numFmtId="0" fontId="6" fillId="19" borderId="0"/>
    <xf numFmtId="0" fontId="7" fillId="19" borderId="0"/>
    <xf numFmtId="0" fontId="8" fillId="19" borderId="0"/>
    <xf numFmtId="0" fontId="9" fillId="19" borderId="0"/>
    <xf numFmtId="0" fontId="6" fillId="19" borderId="0"/>
    <xf numFmtId="0" fontId="7" fillId="19" borderId="0"/>
    <xf numFmtId="0" fontId="8" fillId="19" borderId="0"/>
    <xf numFmtId="0" fontId="9" fillId="19" borderId="0"/>
    <xf numFmtId="0" fontId="6" fillId="19" borderId="0"/>
    <xf numFmtId="0" fontId="7" fillId="19" borderId="0"/>
    <xf numFmtId="0" fontId="8" fillId="19" borderId="0"/>
    <xf numFmtId="0" fontId="9" fillId="19" borderId="0"/>
    <xf numFmtId="0" fontId="6" fillId="19" borderId="0"/>
    <xf numFmtId="0" fontId="7" fillId="19" borderId="0"/>
    <xf numFmtId="0" fontId="8" fillId="19" borderId="0"/>
    <xf numFmtId="0" fontId="9" fillId="19" borderId="0"/>
    <xf numFmtId="0" fontId="7" fillId="19" borderId="0"/>
    <xf numFmtId="0" fontId="5" fillId="19" borderId="0"/>
    <xf numFmtId="0" fontId="4" fillId="3" borderId="0"/>
    <xf numFmtId="0" fontId="5" fillId="3" borderId="0"/>
    <xf numFmtId="0" fontId="3" fillId="3" borderId="0"/>
    <xf numFmtId="0" fontId="4" fillId="3" borderId="0"/>
    <xf numFmtId="0" fontId="7" fillId="3" borderId="0"/>
    <xf numFmtId="0" fontId="5" fillId="3" borderId="0"/>
    <xf numFmtId="0" fontId="3" fillId="3" borderId="0"/>
    <xf numFmtId="0" fontId="4" fillId="3" borderId="0"/>
    <xf numFmtId="0" fontId="7" fillId="3" borderId="0"/>
    <xf numFmtId="0" fontId="5" fillId="3" borderId="0"/>
    <xf numFmtId="0" fontId="3" fillId="3" borderId="0"/>
    <xf numFmtId="0" fontId="4" fillId="3" borderId="0"/>
    <xf numFmtId="0" fontId="7" fillId="3" borderId="0"/>
    <xf numFmtId="0" fontId="5" fillId="3" borderId="0"/>
    <xf numFmtId="0" fontId="3" fillId="3" borderId="0"/>
    <xf numFmtId="0" fontId="4" fillId="3" borderId="0"/>
    <xf numFmtId="0" fontId="7" fillId="3" borderId="0"/>
    <xf numFmtId="0" fontId="5" fillId="3" borderId="0"/>
    <xf numFmtId="0" fontId="3" fillId="3" borderId="0"/>
    <xf numFmtId="0" fontId="4" fillId="3" borderId="0"/>
    <xf numFmtId="0" fontId="7" fillId="3" borderId="0"/>
    <xf numFmtId="0" fontId="5" fillId="3" borderId="0"/>
    <xf numFmtId="0" fontId="3" fillId="3" borderId="0"/>
    <xf numFmtId="0" fontId="4" fillId="3" borderId="0"/>
    <xf numFmtId="0" fontId="7" fillId="3" borderId="0"/>
    <xf numFmtId="0" fontId="5" fillId="3" borderId="0"/>
    <xf numFmtId="0" fontId="3" fillId="3" borderId="0"/>
    <xf numFmtId="0" fontId="4" fillId="3" borderId="0"/>
    <xf numFmtId="0" fontId="7" fillId="3" borderId="0"/>
    <xf numFmtId="0" fontId="5" fillId="3" borderId="0"/>
    <xf numFmtId="0" fontId="3" fillId="3" borderId="0"/>
    <xf numFmtId="0" fontId="7" fillId="3" borderId="0"/>
    <xf numFmtId="0" fontId="10" fillId="3" borderId="0"/>
    <xf numFmtId="0" fontId="3" fillId="20" borderId="1"/>
    <xf numFmtId="0" fontId="11" fillId="20" borderId="1"/>
    <xf numFmtId="0" fontId="4" fillId="20" borderId="1"/>
    <xf numFmtId="0" fontId="7" fillId="20" borderId="1"/>
    <xf numFmtId="0" fontId="5" fillId="20" borderId="1"/>
    <xf numFmtId="0" fontId="3" fillId="20" borderId="1"/>
    <xf numFmtId="0" fontId="4" fillId="20" borderId="1"/>
    <xf numFmtId="0" fontId="7" fillId="20" borderId="1"/>
    <xf numFmtId="0" fontId="5" fillId="20" borderId="1"/>
    <xf numFmtId="0" fontId="3" fillId="20" borderId="1"/>
    <xf numFmtId="0" fontId="4" fillId="20" borderId="1"/>
    <xf numFmtId="0" fontId="7" fillId="20" borderId="1"/>
    <xf numFmtId="0" fontId="5" fillId="20" borderId="1"/>
    <xf numFmtId="0" fontId="3" fillId="20" borderId="1"/>
    <xf numFmtId="0" fontId="4" fillId="20" borderId="1"/>
    <xf numFmtId="0" fontId="7" fillId="20" borderId="1"/>
    <xf numFmtId="0" fontId="5" fillId="20" borderId="1"/>
    <xf numFmtId="0" fontId="3" fillId="20" borderId="1"/>
    <xf numFmtId="0" fontId="4" fillId="20" borderId="1"/>
    <xf numFmtId="0" fontId="7" fillId="20" borderId="1"/>
    <xf numFmtId="0" fontId="5" fillId="20" borderId="1"/>
    <xf numFmtId="0" fontId="3" fillId="20" borderId="1"/>
    <xf numFmtId="0" fontId="4" fillId="20" borderId="1"/>
    <xf numFmtId="0" fontId="7" fillId="20" borderId="1"/>
    <xf numFmtId="0" fontId="5" fillId="20" borderId="1"/>
    <xf numFmtId="0" fontId="3" fillId="20" borderId="1"/>
    <xf numFmtId="0" fontId="4" fillId="20" borderId="1"/>
    <xf numFmtId="0" fontId="7" fillId="20" borderId="1"/>
    <xf numFmtId="0" fontId="5" fillId="20" borderId="1"/>
    <xf numFmtId="0" fontId="3" fillId="20" borderId="1"/>
    <xf numFmtId="0" fontId="7" fillId="20" borderId="1"/>
    <xf numFmtId="0" fontId="10" fillId="20" borderId="1"/>
    <xf numFmtId="0" fontId="10" fillId="20" borderId="1"/>
    <xf numFmtId="0" fontId="10" fillId="20" borderId="1"/>
    <xf numFmtId="0" fontId="10" fillId="20" borderId="1"/>
    <xf numFmtId="0" fontId="4" fillId="21" borderId="2"/>
    <xf numFmtId="0" fontId="3" fillId="21" borderId="2"/>
    <xf numFmtId="0" fontId="5" fillId="21" borderId="2"/>
    <xf numFmtId="0" fontId="7" fillId="21" borderId="2"/>
    <xf numFmtId="0" fontId="12" fillId="21" borderId="2"/>
    <xf numFmtId="0" fontId="13" fillId="21" borderId="2"/>
    <xf numFmtId="0" fontId="5" fillId="21" borderId="2"/>
    <xf numFmtId="0" fontId="7" fillId="21" borderId="2"/>
    <xf numFmtId="0" fontId="12" fillId="21" borderId="2"/>
    <xf numFmtId="0" fontId="13" fillId="21" borderId="2"/>
    <xf numFmtId="0" fontId="5" fillId="21" borderId="2"/>
    <xf numFmtId="0" fontId="7" fillId="21" borderId="2"/>
    <xf numFmtId="0" fontId="12" fillId="21" borderId="2"/>
    <xf numFmtId="0" fontId="13" fillId="21" borderId="2"/>
    <xf numFmtId="0" fontId="5" fillId="21" borderId="2"/>
    <xf numFmtId="0" fontId="7" fillId="21" borderId="2"/>
    <xf numFmtId="0" fontId="12" fillId="21" borderId="2"/>
    <xf numFmtId="0" fontId="13" fillId="21" borderId="2"/>
    <xf numFmtId="0" fontId="5" fillId="21" borderId="2"/>
    <xf numFmtId="0" fontId="7" fillId="21" borderId="2"/>
    <xf numFmtId="0" fontId="12" fillId="21" borderId="2"/>
    <xf numFmtId="0" fontId="13" fillId="21" borderId="2"/>
    <xf numFmtId="0" fontId="5" fillId="21" borderId="2"/>
    <xf numFmtId="0" fontId="7" fillId="21" borderId="2"/>
    <xf numFmtId="0" fontId="12" fillId="21" borderId="2"/>
    <xf numFmtId="0" fontId="13" fillId="21" borderId="2"/>
    <xf numFmtId="0" fontId="5" fillId="21" borderId="2"/>
    <xf numFmtId="0" fontId="7" fillId="21" borderId="2"/>
    <xf numFmtId="0" fontId="12" fillId="21" borderId="2"/>
    <xf numFmtId="0" fontId="13" fillId="21" borderId="2"/>
    <xf numFmtId="0" fontId="7" fillId="21" borderId="2"/>
    <xf numFmtId="0" fontId="8" fillId="21" borderId="2"/>
    <xf numFmtId="0" fontId="4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7" fillId="0" borderId="0"/>
    <xf numFmtId="0" fontId="14" fillId="0" borderId="0"/>
    <xf numFmtId="0" fontId="5" fillId="4" borderId="0"/>
    <xf numFmtId="0" fontId="3" fillId="4" borderId="0"/>
    <xf numFmtId="0" fontId="4" fillId="4" borderId="0"/>
    <xf numFmtId="0" fontId="4" fillId="4" borderId="0"/>
    <xf numFmtId="0" fontId="7" fillId="4" borderId="0"/>
    <xf numFmtId="0" fontId="5" fillId="4" borderId="0"/>
    <xf numFmtId="0" fontId="3" fillId="4" borderId="0"/>
    <xf numFmtId="0" fontId="4" fillId="4" borderId="0"/>
    <xf numFmtId="0" fontId="7" fillId="4" borderId="0"/>
    <xf numFmtId="0" fontId="5" fillId="4" borderId="0"/>
    <xf numFmtId="0" fontId="3" fillId="4" borderId="0"/>
    <xf numFmtId="0" fontId="4" fillId="4" borderId="0"/>
    <xf numFmtId="0" fontId="7" fillId="4" borderId="0"/>
    <xf numFmtId="0" fontId="5" fillId="4" borderId="0"/>
    <xf numFmtId="0" fontId="3" fillId="4" borderId="0"/>
    <xf numFmtId="0" fontId="4" fillId="4" borderId="0"/>
    <xf numFmtId="0" fontId="7" fillId="4" borderId="0"/>
    <xf numFmtId="0" fontId="5" fillId="4" borderId="0"/>
    <xf numFmtId="0" fontId="3" fillId="4" borderId="0"/>
    <xf numFmtId="0" fontId="4" fillId="4" borderId="0"/>
    <xf numFmtId="0" fontId="7" fillId="4" borderId="0"/>
    <xf numFmtId="0" fontId="5" fillId="4" borderId="0"/>
    <xf numFmtId="0" fontId="3" fillId="4" borderId="0"/>
    <xf numFmtId="0" fontId="4" fillId="4" borderId="0"/>
    <xf numFmtId="0" fontId="7" fillId="4" borderId="0"/>
    <xf numFmtId="0" fontId="5" fillId="4" borderId="0"/>
    <xf numFmtId="0" fontId="3" fillId="4" borderId="0"/>
    <xf numFmtId="0" fontId="4" fillId="4" borderId="0"/>
    <xf numFmtId="0" fontId="7" fillId="4" borderId="0"/>
    <xf numFmtId="0" fontId="5" fillId="4" borderId="0"/>
    <xf numFmtId="0" fontId="3" fillId="4" borderId="0"/>
    <xf numFmtId="0" fontId="7" fillId="4" borderId="0"/>
    <xf numFmtId="0" fontId="15" fillId="4" borderId="0"/>
    <xf numFmtId="0" fontId="5" fillId="0" borderId="3"/>
    <xf numFmtId="0" fontId="3" fillId="0" borderId="3"/>
    <xf numFmtId="0" fontId="4" fillId="0" borderId="3"/>
    <xf numFmtId="0" fontId="4" fillId="0" borderId="3"/>
    <xf numFmtId="0" fontId="7" fillId="0" borderId="3"/>
    <xf numFmtId="0" fontId="5" fillId="0" borderId="3"/>
    <xf numFmtId="0" fontId="3" fillId="0" borderId="3"/>
    <xf numFmtId="0" fontId="4" fillId="0" borderId="3"/>
    <xf numFmtId="0" fontId="7" fillId="0" borderId="3"/>
    <xf numFmtId="0" fontId="5" fillId="0" borderId="3"/>
    <xf numFmtId="0" fontId="3" fillId="0" borderId="3"/>
    <xf numFmtId="0" fontId="4" fillId="0" borderId="3"/>
    <xf numFmtId="0" fontId="7" fillId="0" borderId="3"/>
    <xf numFmtId="0" fontId="5" fillId="0" borderId="3"/>
    <xf numFmtId="0" fontId="3" fillId="0" borderId="3"/>
    <xf numFmtId="0" fontId="4" fillId="0" borderId="3"/>
    <xf numFmtId="0" fontId="7" fillId="0" borderId="3"/>
    <xf numFmtId="0" fontId="5" fillId="0" borderId="3"/>
    <xf numFmtId="0" fontId="3" fillId="0" borderId="3"/>
    <xf numFmtId="0" fontId="4" fillId="0" borderId="3"/>
    <xf numFmtId="0" fontId="7" fillId="0" borderId="3"/>
    <xf numFmtId="0" fontId="5" fillId="0" borderId="3"/>
    <xf numFmtId="0" fontId="3" fillId="0" borderId="3"/>
    <xf numFmtId="0" fontId="4" fillId="0" borderId="3"/>
    <xf numFmtId="0" fontId="7" fillId="0" borderId="3"/>
    <xf numFmtId="0" fontId="5" fillId="0" borderId="3"/>
    <xf numFmtId="0" fontId="3" fillId="0" borderId="3"/>
    <xf numFmtId="0" fontId="4" fillId="0" borderId="3"/>
    <xf numFmtId="0" fontId="7" fillId="0" borderId="3"/>
    <xf numFmtId="0" fontId="5" fillId="0" borderId="3"/>
    <xf numFmtId="0" fontId="3" fillId="0" borderId="3"/>
    <xf numFmtId="0" fontId="7" fillId="0" borderId="3"/>
    <xf numFmtId="0" fontId="3" fillId="0" borderId="3"/>
    <xf numFmtId="0" fontId="5" fillId="0" borderId="4"/>
    <xf numFmtId="0" fontId="3" fillId="0" borderId="4"/>
    <xf numFmtId="0" fontId="4" fillId="0" borderId="4"/>
    <xf numFmtId="0" fontId="4" fillId="0" borderId="4"/>
    <xf numFmtId="0" fontId="7" fillId="0" borderId="4"/>
    <xf numFmtId="0" fontId="5" fillId="0" borderId="4"/>
    <xf numFmtId="0" fontId="3" fillId="0" borderId="4"/>
    <xf numFmtId="0" fontId="4" fillId="0" borderId="4"/>
    <xf numFmtId="0" fontId="7" fillId="0" borderId="4"/>
    <xf numFmtId="0" fontId="5" fillId="0" borderId="4"/>
    <xf numFmtId="0" fontId="3" fillId="0" borderId="4"/>
    <xf numFmtId="0" fontId="4" fillId="0" borderId="4"/>
    <xf numFmtId="0" fontId="7" fillId="0" borderId="4"/>
    <xf numFmtId="0" fontId="5" fillId="0" borderId="4"/>
    <xf numFmtId="0" fontId="3" fillId="0" borderId="4"/>
    <xf numFmtId="0" fontId="4" fillId="0" borderId="4"/>
    <xf numFmtId="0" fontId="7" fillId="0" borderId="4"/>
    <xf numFmtId="0" fontId="5" fillId="0" borderId="4"/>
    <xf numFmtId="0" fontId="3" fillId="0" borderId="4"/>
    <xf numFmtId="0" fontId="4" fillId="0" borderId="4"/>
    <xf numFmtId="0" fontId="7" fillId="0" borderId="4"/>
    <xf numFmtId="0" fontId="5" fillId="0" borderId="4"/>
    <xf numFmtId="0" fontId="3" fillId="0" borderId="4"/>
    <xf numFmtId="0" fontId="4" fillId="0" borderId="4"/>
    <xf numFmtId="0" fontId="7" fillId="0" borderId="4"/>
    <xf numFmtId="0" fontId="5" fillId="0" borderId="4"/>
    <xf numFmtId="0" fontId="3" fillId="0" borderId="4"/>
    <xf numFmtId="0" fontId="4" fillId="0" borderId="4"/>
    <xf numFmtId="0" fontId="7" fillId="0" borderId="4"/>
    <xf numFmtId="0" fontId="5" fillId="0" borderId="4"/>
    <xf numFmtId="0" fontId="3" fillId="0" borderId="4"/>
    <xf numFmtId="0" fontId="7" fillId="0" borderId="4"/>
    <xf numFmtId="0" fontId="16" fillId="0" borderId="4"/>
    <xf numFmtId="0" fontId="4" fillId="0" borderId="5"/>
    <xf numFmtId="0" fontId="5" fillId="0" borderId="5"/>
    <xf numFmtId="0" fontId="3" fillId="0" borderId="5"/>
    <xf numFmtId="0" fontId="4" fillId="0" borderId="5"/>
    <xf numFmtId="0" fontId="7" fillId="0" borderId="5"/>
    <xf numFmtId="0" fontId="5" fillId="0" borderId="5"/>
    <xf numFmtId="0" fontId="3" fillId="0" borderId="5"/>
    <xf numFmtId="0" fontId="4" fillId="0" borderId="5"/>
    <xf numFmtId="0" fontId="7" fillId="0" borderId="5"/>
    <xf numFmtId="0" fontId="5" fillId="0" borderId="5"/>
    <xf numFmtId="0" fontId="3" fillId="0" borderId="5"/>
    <xf numFmtId="0" fontId="4" fillId="0" borderId="5"/>
    <xf numFmtId="0" fontId="7" fillId="0" borderId="5"/>
    <xf numFmtId="0" fontId="5" fillId="0" borderId="5"/>
    <xf numFmtId="0" fontId="3" fillId="0" borderId="5"/>
    <xf numFmtId="0" fontId="4" fillId="0" borderId="5"/>
    <xf numFmtId="0" fontId="7" fillId="0" borderId="5"/>
    <xf numFmtId="0" fontId="5" fillId="0" borderId="5"/>
    <xf numFmtId="0" fontId="3" fillId="0" borderId="5"/>
    <xf numFmtId="0" fontId="4" fillId="0" borderId="5"/>
    <xf numFmtId="0" fontId="7" fillId="0" borderId="5"/>
    <xf numFmtId="0" fontId="5" fillId="0" borderId="5"/>
    <xf numFmtId="0" fontId="3" fillId="0" borderId="5"/>
    <xf numFmtId="0" fontId="4" fillId="0" borderId="5"/>
    <xf numFmtId="0" fontId="7" fillId="0" borderId="5"/>
    <xf numFmtId="0" fontId="5" fillId="0" borderId="5"/>
    <xf numFmtId="0" fontId="3" fillId="0" borderId="5"/>
    <xf numFmtId="0" fontId="4" fillId="0" borderId="5"/>
    <xf numFmtId="0" fontId="7" fillId="0" borderId="5"/>
    <xf numFmtId="0" fontId="5" fillId="0" borderId="5"/>
    <xf numFmtId="0" fontId="3" fillId="0" borderId="5"/>
    <xf numFmtId="0" fontId="7" fillId="0" borderId="5"/>
    <xf numFmtId="0" fontId="17" fillId="0" borderId="5"/>
    <xf numFmtId="0" fontId="4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7" fillId="0" borderId="0"/>
    <xf numFmtId="0" fontId="17" fillId="0" borderId="0"/>
    <xf numFmtId="0" fontId="4" fillId="7" borderId="1"/>
    <xf numFmtId="0" fontId="5" fillId="7" borderId="1"/>
    <xf numFmtId="0" fontId="3" fillId="7" borderId="1"/>
    <xf numFmtId="0" fontId="4" fillId="7" borderId="1"/>
    <xf numFmtId="0" fontId="7" fillId="7" borderId="1"/>
    <xf numFmtId="0" fontId="5" fillId="7" borderId="1"/>
    <xf numFmtId="0" fontId="3" fillId="7" borderId="1"/>
    <xf numFmtId="0" fontId="4" fillId="7" borderId="1"/>
    <xf numFmtId="0" fontId="7" fillId="7" borderId="1"/>
    <xf numFmtId="0" fontId="5" fillId="7" borderId="1"/>
    <xf numFmtId="0" fontId="3" fillId="7" borderId="1"/>
    <xf numFmtId="0" fontId="4" fillId="7" borderId="1"/>
    <xf numFmtId="0" fontId="7" fillId="7" borderId="1"/>
    <xf numFmtId="0" fontId="5" fillId="7" borderId="1"/>
    <xf numFmtId="0" fontId="3" fillId="7" borderId="1"/>
    <xf numFmtId="0" fontId="4" fillId="7" borderId="1"/>
    <xf numFmtId="0" fontId="7" fillId="7" borderId="1"/>
    <xf numFmtId="0" fontId="5" fillId="7" borderId="1"/>
    <xf numFmtId="0" fontId="3" fillId="7" borderId="1"/>
    <xf numFmtId="0" fontId="4" fillId="7" borderId="1"/>
    <xf numFmtId="0" fontId="7" fillId="7" borderId="1"/>
    <xf numFmtId="0" fontId="5" fillId="7" borderId="1"/>
    <xf numFmtId="0" fontId="3" fillId="7" borderId="1"/>
    <xf numFmtId="0" fontId="4" fillId="7" borderId="1"/>
    <xf numFmtId="0" fontId="7" fillId="7" borderId="1"/>
    <xf numFmtId="0" fontId="5" fillId="7" borderId="1"/>
    <xf numFmtId="0" fontId="3" fillId="7" borderId="1"/>
    <xf numFmtId="0" fontId="4" fillId="7" borderId="1"/>
    <xf numFmtId="0" fontId="7" fillId="7" borderId="1"/>
    <xf numFmtId="0" fontId="5" fillId="7" borderId="1"/>
    <xf numFmtId="0" fontId="3" fillId="7" borderId="1"/>
    <xf numFmtId="0" fontId="7" fillId="7" borderId="1"/>
    <xf numFmtId="0" fontId="4" fillId="7" borderId="1"/>
    <xf numFmtId="0" fontId="4" fillId="0" borderId="6"/>
    <xf numFmtId="0" fontId="5" fillId="0" borderId="6"/>
    <xf numFmtId="0" fontId="3" fillId="0" borderId="6"/>
    <xf numFmtId="0" fontId="4" fillId="0" borderId="6"/>
    <xf numFmtId="0" fontId="7" fillId="0" borderId="6"/>
    <xf numFmtId="0" fontId="5" fillId="0" borderId="6"/>
    <xf numFmtId="0" fontId="3" fillId="0" borderId="6"/>
    <xf numFmtId="0" fontId="4" fillId="0" borderId="6"/>
    <xf numFmtId="0" fontId="7" fillId="0" borderId="6"/>
    <xf numFmtId="0" fontId="5" fillId="0" borderId="6"/>
    <xf numFmtId="0" fontId="3" fillId="0" borderId="6"/>
    <xf numFmtId="0" fontId="4" fillId="0" borderId="6"/>
    <xf numFmtId="0" fontId="7" fillId="0" borderId="6"/>
    <xf numFmtId="0" fontId="5" fillId="0" borderId="6"/>
    <xf numFmtId="0" fontId="3" fillId="0" borderId="6"/>
    <xf numFmtId="0" fontId="4" fillId="0" borderId="6"/>
    <xf numFmtId="0" fontId="7" fillId="0" borderId="6"/>
    <xf numFmtId="0" fontId="5" fillId="0" borderId="6"/>
    <xf numFmtId="0" fontId="3" fillId="0" borderId="6"/>
    <xf numFmtId="0" fontId="4" fillId="0" borderId="6"/>
    <xf numFmtId="0" fontId="7" fillId="0" borderId="6"/>
    <xf numFmtId="0" fontId="5" fillId="0" borderId="6"/>
    <xf numFmtId="0" fontId="3" fillId="0" borderId="6"/>
    <xf numFmtId="0" fontId="4" fillId="0" borderId="6"/>
    <xf numFmtId="0" fontId="7" fillId="0" borderId="6"/>
    <xf numFmtId="0" fontId="5" fillId="0" borderId="6"/>
    <xf numFmtId="0" fontId="3" fillId="0" borderId="6"/>
    <xf numFmtId="0" fontId="4" fillId="0" borderId="6"/>
    <xf numFmtId="0" fontId="7" fillId="0" borderId="6"/>
    <xf numFmtId="0" fontId="5" fillId="0" borderId="6"/>
    <xf numFmtId="0" fontId="3" fillId="0" borderId="6"/>
    <xf numFmtId="0" fontId="7" fillId="0" borderId="6"/>
    <xf numFmtId="0" fontId="13" fillId="0" borderId="6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0" borderId="0"/>
    <xf numFmtId="164" fontId="24" fillId="0" borderId="0"/>
    <xf numFmtId="165" fontId="24" fillId="0" borderId="0"/>
    <xf numFmtId="0" fontId="5" fillId="22" borderId="0"/>
    <xf numFmtId="0" fontId="3" fillId="22" borderId="0"/>
    <xf numFmtId="0" fontId="4" fillId="22" borderId="0"/>
    <xf numFmtId="0" fontId="4" fillId="22" borderId="0"/>
    <xf numFmtId="0" fontId="7" fillId="22" borderId="0"/>
    <xf numFmtId="0" fontId="5" fillId="22" borderId="0"/>
    <xf numFmtId="0" fontId="3" fillId="22" borderId="0"/>
    <xf numFmtId="0" fontId="4" fillId="22" borderId="0"/>
    <xf numFmtId="0" fontId="7" fillId="22" borderId="0"/>
    <xf numFmtId="0" fontId="5" fillId="22" borderId="0"/>
    <xf numFmtId="0" fontId="3" fillId="22" borderId="0"/>
    <xf numFmtId="0" fontId="4" fillId="22" borderId="0"/>
    <xf numFmtId="0" fontId="7" fillId="22" borderId="0"/>
    <xf numFmtId="0" fontId="5" fillId="22" borderId="0"/>
    <xf numFmtId="0" fontId="3" fillId="22" borderId="0"/>
    <xf numFmtId="0" fontId="4" fillId="22" borderId="0"/>
    <xf numFmtId="0" fontId="7" fillId="22" borderId="0"/>
    <xf numFmtId="0" fontId="5" fillId="22" borderId="0"/>
    <xf numFmtId="0" fontId="3" fillId="22" borderId="0"/>
    <xf numFmtId="0" fontId="4" fillId="22" borderId="0"/>
    <xf numFmtId="0" fontId="7" fillId="22" borderId="0"/>
    <xf numFmtId="0" fontId="5" fillId="22" borderId="0"/>
    <xf numFmtId="0" fontId="3" fillId="22" borderId="0"/>
    <xf numFmtId="0" fontId="4" fillId="22" borderId="0"/>
    <xf numFmtId="0" fontId="7" fillId="22" borderId="0"/>
    <xf numFmtId="0" fontId="5" fillId="22" borderId="0"/>
    <xf numFmtId="0" fontId="3" fillId="22" borderId="0"/>
    <xf numFmtId="0" fontId="4" fillId="22" borderId="0"/>
    <xf numFmtId="0" fontId="7" fillId="22" borderId="0"/>
    <xf numFmtId="0" fontId="5" fillId="22" borderId="0"/>
    <xf numFmtId="0" fontId="3" fillId="22" borderId="0"/>
    <xf numFmtId="0" fontId="7" fillId="22" borderId="0"/>
    <xf numFmtId="0" fontId="6" fillId="22" borderId="0"/>
    <xf numFmtId="0" fontId="4" fillId="0" borderId="0"/>
    <xf numFmtId="0" fontId="24" fillId="0" borderId="0"/>
    <xf numFmtId="0" fontId="2" fillId="0" borderId="0"/>
    <xf numFmtId="0" fontId="3" fillId="0" borderId="0"/>
    <xf numFmtId="0" fontId="7" fillId="0" borderId="0"/>
    <xf numFmtId="0" fontId="5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3" fillId="0" borderId="0"/>
    <xf numFmtId="0" fontId="4" fillId="0" borderId="0"/>
    <xf numFmtId="0" fontId="7" fillId="0" borderId="0"/>
    <xf numFmtId="0" fontId="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7" fillId="0" borderId="0"/>
    <xf numFmtId="0" fontId="28" fillId="0" borderId="0"/>
    <xf numFmtId="0" fontId="1" fillId="0" borderId="0"/>
  </cellStyleXfs>
  <cellXfs count="92">
    <xf numFmtId="0" fontId="0" fillId="0" borderId="0" xfId="0"/>
    <xf numFmtId="0" fontId="0" fillId="0" borderId="0" xfId="1538" applyFont="1"/>
    <xf numFmtId="164" fontId="0" fillId="0" borderId="0" xfId="1" applyFont="1" applyAlignment="1">
      <alignment horizontal="center"/>
    </xf>
    <xf numFmtId="0" fontId="0" fillId="0" borderId="0" xfId="1538" applyFont="1" applyAlignment="1">
      <alignment horizontal="center"/>
    </xf>
    <xf numFmtId="0" fontId="18" fillId="0" borderId="9" xfId="1538" applyFont="1" applyBorder="1" applyAlignment="1">
      <alignment horizontal="center" vertical="center"/>
    </xf>
    <xf numFmtId="0" fontId="0" fillId="26" borderId="0" xfId="1538" applyFont="1" applyFill="1"/>
    <xf numFmtId="164" fontId="0" fillId="26" borderId="0" xfId="1" applyFont="1" applyFill="1" applyAlignment="1">
      <alignment horizontal="center"/>
    </xf>
    <xf numFmtId="0" fontId="0" fillId="26" borderId="0" xfId="1538" applyFont="1" applyFill="1" applyAlignment="1">
      <alignment horizontal="center"/>
    </xf>
    <xf numFmtId="0" fontId="21" fillId="23" borderId="12" xfId="1538" applyFont="1" applyFill="1" applyBorder="1" applyAlignment="1">
      <alignment horizontal="center" vertical="center" wrapText="1"/>
    </xf>
    <xf numFmtId="164" fontId="21" fillId="23" borderId="12" xfId="1" applyFont="1" applyFill="1" applyBorder="1" applyAlignment="1">
      <alignment horizontal="center" vertical="center" wrapText="1"/>
    </xf>
    <xf numFmtId="0" fontId="19" fillId="24" borderId="9" xfId="1538" applyFont="1" applyFill="1" applyBorder="1" applyAlignment="1">
      <alignment vertical="center"/>
    </xf>
    <xf numFmtId="0" fontId="19" fillId="24" borderId="10" xfId="1538" applyFont="1" applyFill="1" applyBorder="1" applyAlignment="1">
      <alignment vertical="center"/>
    </xf>
    <xf numFmtId="0" fontId="19" fillId="24" borderId="11" xfId="1538" applyFont="1" applyFill="1" applyBorder="1" applyAlignment="1">
      <alignment vertical="center"/>
    </xf>
    <xf numFmtId="0" fontId="22" fillId="24" borderId="13" xfId="1538" applyFont="1" applyFill="1" applyBorder="1"/>
    <xf numFmtId="0" fontId="29" fillId="26" borderId="12" xfId="3432" applyFont="1" applyFill="1" applyBorder="1" applyAlignment="1">
      <alignment horizontal="left" vertical="center"/>
    </xf>
    <xf numFmtId="0" fontId="21" fillId="31" borderId="12" xfId="1538" applyFont="1" applyFill="1" applyBorder="1" applyAlignment="1">
      <alignment horizontal="center" vertical="center" wrapText="1"/>
    </xf>
    <xf numFmtId="0" fontId="20" fillId="24" borderId="12" xfId="1538" applyFont="1" applyFill="1" applyBorder="1" applyAlignment="1">
      <alignment horizontal="center"/>
    </xf>
    <xf numFmtId="0" fontId="32" fillId="24" borderId="15" xfId="1538" applyFont="1" applyFill="1" applyBorder="1"/>
    <xf numFmtId="0" fontId="32" fillId="24" borderId="14" xfId="1538" applyFont="1" applyFill="1" applyBorder="1"/>
    <xf numFmtId="164" fontId="35" fillId="28" borderId="12" xfId="1538" applyNumberFormat="1" applyFont="1" applyFill="1" applyBorder="1" applyAlignment="1">
      <alignment horizontal="center" vertical="center" wrapText="1"/>
    </xf>
    <xf numFmtId="0" fontId="31" fillId="26" borderId="13" xfId="3432" applyFont="1" applyFill="1" applyBorder="1" applyAlignment="1">
      <alignment vertical="center"/>
    </xf>
    <xf numFmtId="0" fontId="31" fillId="26" borderId="15" xfId="3432" applyFont="1" applyFill="1" applyBorder="1" applyAlignment="1">
      <alignment vertical="center"/>
    </xf>
    <xf numFmtId="0" fontId="31" fillId="26" borderId="14" xfId="3432" applyFont="1" applyFill="1" applyBorder="1" applyAlignment="1">
      <alignment vertical="center"/>
    </xf>
    <xf numFmtId="0" fontId="36" fillId="27" borderId="12" xfId="0" applyFont="1" applyFill="1" applyBorder="1" applyAlignment="1">
      <alignment horizontal="left" vertical="center" wrapText="1"/>
    </xf>
    <xf numFmtId="0" fontId="0" fillId="26" borderId="0" xfId="1538" applyFont="1" applyFill="1"/>
    <xf numFmtId="166" fontId="38" fillId="0" borderId="12" xfId="1538" applyNumberFormat="1" applyFont="1" applyBorder="1" applyAlignment="1">
      <alignment horizontal="center" vertical="center" wrapText="1"/>
    </xf>
    <xf numFmtId="164" fontId="37" fillId="0" borderId="12" xfId="1" applyFont="1" applyBorder="1" applyAlignment="1">
      <alignment horizontal="center" vertical="center" wrapText="1"/>
    </xf>
    <xf numFmtId="166" fontId="37" fillId="0" borderId="12" xfId="1538" applyNumberFormat="1" applyFont="1" applyBorder="1" applyAlignment="1">
      <alignment horizontal="center" vertical="center" wrapText="1"/>
    </xf>
    <xf numFmtId="0" fontId="37" fillId="0" borderId="12" xfId="0" applyFont="1" applyBorder="1" applyAlignment="1">
      <alignment vertical="center" wrapText="1"/>
    </xf>
    <xf numFmtId="0" fontId="21" fillId="23" borderId="19" xfId="1538" applyFont="1" applyFill="1" applyBorder="1" applyAlignment="1">
      <alignment horizontal="center" vertical="center" wrapText="1"/>
    </xf>
    <xf numFmtId="2" fontId="37" fillId="0" borderId="12" xfId="0" applyNumberFormat="1" applyFont="1" applyBorder="1" applyAlignment="1">
      <alignment horizontal="center" vertical="center" wrapText="1"/>
    </xf>
    <xf numFmtId="0" fontId="37" fillId="0" borderId="12" xfId="0" applyFont="1" applyBorder="1" applyAlignment="1">
      <alignment horizontal="center" vertical="center" wrapText="1"/>
    </xf>
    <xf numFmtId="0" fontId="39" fillId="26" borderId="13" xfId="0" applyFont="1" applyFill="1" applyBorder="1" applyAlignment="1">
      <alignment horizontal="center" vertical="center"/>
    </xf>
    <xf numFmtId="0" fontId="37" fillId="31" borderId="13" xfId="1538" applyFont="1" applyFill="1" applyBorder="1" applyAlignment="1">
      <alignment horizontal="center" vertical="center" wrapText="1"/>
    </xf>
    <xf numFmtId="0" fontId="37" fillId="31" borderId="14" xfId="1538" applyFont="1" applyFill="1" applyBorder="1" applyAlignment="1">
      <alignment horizontal="center" vertical="center" wrapText="1"/>
    </xf>
    <xf numFmtId="0" fontId="0" fillId="26" borderId="0" xfId="1538" applyFont="1" applyFill="1"/>
    <xf numFmtId="0" fontId="37" fillId="0" borderId="13" xfId="0" applyFont="1" applyBorder="1" applyAlignment="1">
      <alignment vertical="center" wrapText="1"/>
    </xf>
    <xf numFmtId="2" fontId="37" fillId="0" borderId="14" xfId="0" applyNumberFormat="1" applyFont="1" applyBorder="1" applyAlignment="1">
      <alignment horizontal="center" vertical="center" wrapText="1"/>
    </xf>
    <xf numFmtId="0" fontId="37" fillId="0" borderId="14" xfId="0" applyFont="1" applyBorder="1" applyAlignment="1">
      <alignment horizontal="center" vertical="center" wrapText="1"/>
    </xf>
    <xf numFmtId="0" fontId="37" fillId="0" borderId="19" xfId="0" applyFont="1" applyBorder="1" applyAlignment="1">
      <alignment horizontal="center" vertical="center" wrapText="1"/>
    </xf>
    <xf numFmtId="0" fontId="18" fillId="0" borderId="10" xfId="1538" applyFont="1" applyBorder="1" applyAlignment="1">
      <alignment vertical="center" wrapText="1"/>
    </xf>
    <xf numFmtId="0" fontId="18" fillId="0" borderId="11" xfId="1538" applyFont="1" applyBorder="1" applyAlignment="1">
      <alignment vertical="center" wrapText="1"/>
    </xf>
    <xf numFmtId="0" fontId="37" fillId="26" borderId="13" xfId="0" applyFont="1" applyFill="1" applyBorder="1" applyAlignment="1">
      <alignment horizontal="center" vertical="center"/>
    </xf>
    <xf numFmtId="0" fontId="37" fillId="31" borderId="13" xfId="1538" applyFont="1" applyFill="1" applyBorder="1" applyAlignment="1">
      <alignment horizontal="center" vertical="center" wrapText="1"/>
    </xf>
    <xf numFmtId="0" fontId="18" fillId="0" borderId="9" xfId="1538" applyFont="1" applyBorder="1" applyAlignment="1">
      <alignment horizontal="center" vertical="center"/>
    </xf>
    <xf numFmtId="0" fontId="18" fillId="0" borderId="10" xfId="1538" applyFont="1" applyBorder="1" applyAlignment="1">
      <alignment horizontal="center" vertical="center"/>
    </xf>
    <xf numFmtId="0" fontId="18" fillId="0" borderId="11" xfId="1538" applyFont="1" applyBorder="1" applyAlignment="1">
      <alignment horizontal="center" vertical="center"/>
    </xf>
    <xf numFmtId="0" fontId="19" fillId="24" borderId="7" xfId="1538" applyFont="1" applyFill="1" applyBorder="1" applyAlignment="1">
      <alignment horizontal="left"/>
    </xf>
    <xf numFmtId="164" fontId="19" fillId="24" borderId="7" xfId="1538" applyNumberFormat="1" applyFont="1" applyFill="1" applyBorder="1" applyAlignment="1">
      <alignment horizontal="center"/>
    </xf>
    <xf numFmtId="0" fontId="20" fillId="0" borderId="8" xfId="1538" applyFont="1" applyBorder="1" applyAlignment="1">
      <alignment horizontal="left" vertical="center" wrapText="1"/>
    </xf>
    <xf numFmtId="0" fontId="21" fillId="23" borderId="13" xfId="1538" applyFont="1" applyFill="1" applyBorder="1" applyAlignment="1">
      <alignment horizontal="center" vertical="center" wrapText="1"/>
    </xf>
    <xf numFmtId="0" fontId="21" fillId="23" borderId="14" xfId="1538" applyFont="1" applyFill="1" applyBorder="1" applyAlignment="1">
      <alignment horizontal="center" vertical="center" wrapText="1"/>
    </xf>
    <xf numFmtId="0" fontId="39" fillId="26" borderId="13" xfId="0" applyFont="1" applyFill="1" applyBorder="1" applyAlignment="1">
      <alignment horizontal="center" vertical="center"/>
    </xf>
    <xf numFmtId="0" fontId="19" fillId="23" borderId="7" xfId="1538" applyFont="1" applyFill="1" applyBorder="1" applyAlignment="1">
      <alignment horizontal="center" vertical="center" wrapText="1"/>
    </xf>
    <xf numFmtId="0" fontId="20" fillId="0" borderId="7" xfId="1538" applyFont="1" applyBorder="1" applyAlignment="1">
      <alignment horizontal="left" vertical="center" wrapText="1"/>
    </xf>
    <xf numFmtId="0" fontId="18" fillId="0" borderId="7" xfId="1538" applyFont="1" applyBorder="1" applyAlignment="1">
      <alignment horizontal="center" vertical="center"/>
    </xf>
    <xf numFmtId="0" fontId="20" fillId="0" borderId="9" xfId="1538" applyFont="1" applyBorder="1" applyAlignment="1">
      <alignment horizontal="left" vertical="center" wrapText="1"/>
    </xf>
    <xf numFmtId="0" fontId="20" fillId="0" borderId="11" xfId="1538" applyFont="1" applyBorder="1" applyAlignment="1">
      <alignment horizontal="left" vertical="center" wrapText="1"/>
    </xf>
    <xf numFmtId="0" fontId="20" fillId="0" borderId="7" xfId="1538" applyFont="1" applyBorder="1" applyAlignment="1">
      <alignment horizontal="left"/>
    </xf>
    <xf numFmtId="0" fontId="20" fillId="0" borderId="9" xfId="1538" applyFont="1" applyBorder="1" applyAlignment="1">
      <alignment horizontal="left"/>
    </xf>
    <xf numFmtId="0" fontId="20" fillId="0" borderId="11" xfId="1538" applyFont="1" applyBorder="1" applyAlignment="1">
      <alignment horizontal="left"/>
    </xf>
    <xf numFmtId="0" fontId="25" fillId="0" borderId="0" xfId="1538" applyFont="1" applyAlignment="1">
      <alignment horizontal="center"/>
    </xf>
    <xf numFmtId="168" fontId="33" fillId="27" borderId="12" xfId="0" applyNumberFormat="1" applyFont="1" applyFill="1" applyBorder="1" applyAlignment="1">
      <alignment horizontal="center" vertical="center"/>
    </xf>
    <xf numFmtId="168" fontId="34" fillId="27" borderId="12" xfId="0" applyNumberFormat="1" applyFont="1" applyFill="1" applyBorder="1" applyAlignment="1">
      <alignment horizontal="center" vertical="center"/>
    </xf>
    <xf numFmtId="0" fontId="21" fillId="25" borderId="16" xfId="1538" applyFont="1" applyFill="1" applyBorder="1" applyAlignment="1">
      <alignment horizontal="center" vertical="center" wrapText="1"/>
    </xf>
    <xf numFmtId="0" fontId="21" fillId="25" borderId="17" xfId="1538" applyFont="1" applyFill="1" applyBorder="1" applyAlignment="1">
      <alignment horizontal="center" vertical="center" wrapText="1"/>
    </xf>
    <xf numFmtId="0" fontId="21" fillId="25" borderId="18" xfId="1538" applyFont="1" applyFill="1" applyBorder="1" applyAlignment="1">
      <alignment horizontal="center" vertical="center" wrapText="1"/>
    </xf>
    <xf numFmtId="0" fontId="0" fillId="26" borderId="0" xfId="1538" applyFont="1" applyFill="1"/>
    <xf numFmtId="0" fontId="0" fillId="0" borderId="0" xfId="1538" applyFont="1" applyAlignment="1">
      <alignment horizontal="center"/>
    </xf>
    <xf numFmtId="0" fontId="23" fillId="29" borderId="8" xfId="1538" applyFont="1" applyFill="1" applyBorder="1" applyAlignment="1">
      <alignment horizontal="center"/>
    </xf>
    <xf numFmtId="164" fontId="30" fillId="30" borderId="7" xfId="1" applyFont="1" applyFill="1" applyBorder="1" applyAlignment="1">
      <alignment horizontal="center"/>
    </xf>
    <xf numFmtId="164" fontId="19" fillId="24" borderId="7" xfId="1" applyFont="1" applyFill="1" applyBorder="1" applyAlignment="1">
      <alignment horizontal="center"/>
    </xf>
    <xf numFmtId="0" fontId="39" fillId="26" borderId="13" xfId="0" applyFont="1" applyFill="1" applyBorder="1" applyAlignment="1">
      <alignment horizontal="center"/>
    </xf>
    <xf numFmtId="0" fontId="37" fillId="0" borderId="13" xfId="1538" applyFont="1" applyBorder="1" applyAlignment="1">
      <alignment horizontal="center"/>
    </xf>
    <xf numFmtId="0" fontId="37" fillId="26" borderId="15" xfId="0" applyFont="1" applyFill="1" applyBorder="1" applyAlignment="1">
      <alignment horizontal="center" vertical="center"/>
    </xf>
    <xf numFmtId="0" fontId="37" fillId="31" borderId="15" xfId="1538" applyFont="1" applyFill="1" applyBorder="1" applyAlignment="1">
      <alignment horizontal="center" vertical="center" wrapText="1"/>
    </xf>
    <xf numFmtId="0" fontId="37" fillId="0" borderId="15" xfId="1538" applyFont="1" applyBorder="1" applyAlignment="1">
      <alignment horizontal="center"/>
    </xf>
    <xf numFmtId="0" fontId="37" fillId="31" borderId="15" xfId="1538" applyFont="1" applyFill="1" applyBorder="1" applyAlignment="1">
      <alignment horizontal="center" vertical="center" wrapText="1"/>
    </xf>
    <xf numFmtId="0" fontId="39" fillId="26" borderId="15" xfId="0" applyFont="1" applyFill="1" applyBorder="1" applyAlignment="1">
      <alignment horizontal="center" vertical="center"/>
    </xf>
    <xf numFmtId="0" fontId="39" fillId="26" borderId="15" xfId="0" applyFont="1" applyFill="1" applyBorder="1" applyAlignment="1">
      <alignment horizontal="center" vertical="center"/>
    </xf>
    <xf numFmtId="0" fontId="39" fillId="26" borderId="15" xfId="0" applyFont="1" applyFill="1" applyBorder="1" applyAlignment="1">
      <alignment horizontal="center"/>
    </xf>
    <xf numFmtId="0" fontId="0" fillId="26" borderId="0" xfId="1538" applyFont="1" applyFill="1" applyAlignment="1">
      <alignment vertical="center"/>
    </xf>
    <xf numFmtId="164" fontId="37" fillId="0" borderId="12" xfId="1" applyFont="1" applyBorder="1"/>
    <xf numFmtId="164" fontId="37" fillId="0" borderId="12" xfId="1" applyFont="1" applyBorder="1" applyAlignment="1">
      <alignment vertical="center"/>
    </xf>
    <xf numFmtId="0" fontId="37" fillId="0" borderId="19" xfId="0" applyFont="1" applyBorder="1" applyAlignment="1">
      <alignment horizontal="center" wrapText="1"/>
    </xf>
    <xf numFmtId="0" fontId="40" fillId="0" borderId="12" xfId="0" applyFont="1" applyBorder="1" applyAlignment="1">
      <alignment horizontal="center" vertical="center" wrapText="1"/>
    </xf>
    <xf numFmtId="0" fontId="40" fillId="0" borderId="19" xfId="0" applyFont="1" applyBorder="1" applyAlignment="1">
      <alignment horizontal="center" vertical="center" wrapText="1"/>
    </xf>
    <xf numFmtId="0" fontId="25" fillId="0" borderId="0" xfId="1538" applyFont="1"/>
    <xf numFmtId="2" fontId="41" fillId="28" borderId="12" xfId="1538" applyNumberFormat="1" applyFont="1" applyFill="1" applyBorder="1" applyAlignment="1">
      <alignment horizontal="center" vertical="center" wrapText="1"/>
    </xf>
    <xf numFmtId="164" fontId="41" fillId="27" borderId="12" xfId="1" applyFont="1" applyFill="1" applyBorder="1" applyAlignment="1">
      <alignment horizontal="center" vertical="center" wrapText="1"/>
    </xf>
    <xf numFmtId="166" fontId="41" fillId="27" borderId="12" xfId="1538" applyNumberFormat="1" applyFont="1" applyFill="1" applyBorder="1" applyAlignment="1">
      <alignment horizontal="center" vertical="center" wrapText="1"/>
    </xf>
    <xf numFmtId="164" fontId="41" fillId="28" borderId="12" xfId="1" applyFont="1" applyFill="1" applyBorder="1" applyAlignment="1">
      <alignment horizontal="center" vertical="center" wrapText="1"/>
    </xf>
  </cellXfs>
  <cellStyles count="3434">
    <cellStyle name="20% - Accent1" xfId="2"/>
    <cellStyle name="20% - Accent1 2" xfId="3"/>
    <cellStyle name="20% - Accent1 3" xfId="4"/>
    <cellStyle name="20% - Accent2" xfId="5"/>
    <cellStyle name="20% - Accent2 2" xfId="6"/>
    <cellStyle name="20% - Accent2 3" xfId="7"/>
    <cellStyle name="20% - Accent3" xfId="8"/>
    <cellStyle name="20% - Accent3 2" xfId="9"/>
    <cellStyle name="20% - Accent3 3" xfId="10"/>
    <cellStyle name="20% - Accent4" xfId="11"/>
    <cellStyle name="20% - Accent4 2" xfId="12"/>
    <cellStyle name="20% - Accent4 3" xfId="13"/>
    <cellStyle name="20% - Accent5" xfId="14"/>
    <cellStyle name="20% - Accent5 2" xfId="15"/>
    <cellStyle name="20% - Accent5 3" xfId="16"/>
    <cellStyle name="20% - Accent6" xfId="17"/>
    <cellStyle name="20% - Accent6 2" xfId="18"/>
    <cellStyle name="20% - Accent6 3" xfId="19"/>
    <cellStyle name="40% - Accent1" xfId="20"/>
    <cellStyle name="40% - Accent1 2" xfId="21"/>
    <cellStyle name="40% - Accent1 3" xfId="22"/>
    <cellStyle name="40% - Accent2" xfId="23"/>
    <cellStyle name="40% - Accent2 2" xfId="24"/>
    <cellStyle name="40% - Accent2 3" xfId="25"/>
    <cellStyle name="40% - Accent3" xfId="26"/>
    <cellStyle name="40% - Accent3 2" xfId="27"/>
    <cellStyle name="40% - Accent3 3" xfId="28"/>
    <cellStyle name="40% - Accent4" xfId="29"/>
    <cellStyle name="40% - Accent4 2" xfId="30"/>
    <cellStyle name="40% - Accent4 3" xfId="31"/>
    <cellStyle name="40% - Accent5" xfId="32"/>
    <cellStyle name="40% - Accent5 2" xfId="33"/>
    <cellStyle name="40% - Accent5 3" xfId="34"/>
    <cellStyle name="40% - Accent6" xfId="35"/>
    <cellStyle name="40% - Accent6 2" xfId="36"/>
    <cellStyle name="40% - Accent6 3" xfId="37"/>
    <cellStyle name="60% - Accent1" xfId="38"/>
    <cellStyle name="60% - Accent1 10" xfId="39"/>
    <cellStyle name="60% - Accent1 11" xfId="40"/>
    <cellStyle name="60% - Accent1 2" xfId="41"/>
    <cellStyle name="60% - Accent1 2 2" xfId="42"/>
    <cellStyle name="60% - Accent1 2 3" xfId="43"/>
    <cellStyle name="60% - Accent1 2 4" xfId="44"/>
    <cellStyle name="60% - Accent1 3" xfId="45"/>
    <cellStyle name="60% - Accent1 3 2" xfId="46"/>
    <cellStyle name="60% - Accent1 3 3" xfId="47"/>
    <cellStyle name="60% - Accent1 3 4" xfId="48"/>
    <cellStyle name="60% - Accent1 4" xfId="49"/>
    <cellStyle name="60% - Accent1 4 2" xfId="50"/>
    <cellStyle name="60% - Accent1 4 3" xfId="51"/>
    <cellStyle name="60% - Accent1 4 4" xfId="52"/>
    <cellStyle name="60% - Accent1 5" xfId="53"/>
    <cellStyle name="60% - Accent1 5 2" xfId="54"/>
    <cellStyle name="60% - Accent1 5 3" xfId="55"/>
    <cellStyle name="60% - Accent1 5 4" xfId="56"/>
    <cellStyle name="60% - Accent1 6" xfId="57"/>
    <cellStyle name="60% - Accent1 6 2" xfId="58"/>
    <cellStyle name="60% - Accent1 6 3" xfId="59"/>
    <cellStyle name="60% - Accent1 6 4" xfId="60"/>
    <cellStyle name="60% - Accent1 7" xfId="61"/>
    <cellStyle name="60% - Accent1 7 2" xfId="62"/>
    <cellStyle name="60% - Accent1 7 3" xfId="63"/>
    <cellStyle name="60% - Accent1 7 4" xfId="64"/>
    <cellStyle name="60% - Accent1 8" xfId="65"/>
    <cellStyle name="60% - Accent1 8 2" xfId="66"/>
    <cellStyle name="60% - Accent1 8 3" xfId="67"/>
    <cellStyle name="60% - Accent1 8 4" xfId="68"/>
    <cellStyle name="60% - Accent1 9" xfId="69"/>
    <cellStyle name="60% - Accent1 9 2" xfId="70"/>
    <cellStyle name="60% - Accent2" xfId="71"/>
    <cellStyle name="60% - Accent2 10" xfId="72"/>
    <cellStyle name="60% - Accent2 11" xfId="73"/>
    <cellStyle name="60% - Accent2 2" xfId="74"/>
    <cellStyle name="60% - Accent2 2 2" xfId="75"/>
    <cellStyle name="60% - Accent2 2 3" xfId="76"/>
    <cellStyle name="60% - Accent2 2 4" xfId="77"/>
    <cellStyle name="60% - Accent2 3" xfId="78"/>
    <cellStyle name="60% - Accent2 3 2" xfId="79"/>
    <cellStyle name="60% - Accent2 3 3" xfId="80"/>
    <cellStyle name="60% - Accent2 3 4" xfId="81"/>
    <cellStyle name="60% - Accent2 4" xfId="82"/>
    <cellStyle name="60% - Accent2 4 2" xfId="83"/>
    <cellStyle name="60% - Accent2 4 3" xfId="84"/>
    <cellStyle name="60% - Accent2 4 4" xfId="85"/>
    <cellStyle name="60% - Accent2 5" xfId="86"/>
    <cellStyle name="60% - Accent2 5 2" xfId="87"/>
    <cellStyle name="60% - Accent2 5 3" xfId="88"/>
    <cellStyle name="60% - Accent2 5 4" xfId="89"/>
    <cellStyle name="60% - Accent2 6" xfId="90"/>
    <cellStyle name="60% - Accent2 6 2" xfId="91"/>
    <cellStyle name="60% - Accent2 6 3" xfId="92"/>
    <cellStyle name="60% - Accent2 6 4" xfId="93"/>
    <cellStyle name="60% - Accent2 7" xfId="94"/>
    <cellStyle name="60% - Accent2 7 2" xfId="95"/>
    <cellStyle name="60% - Accent2 7 3" xfId="96"/>
    <cellStyle name="60% - Accent2 7 4" xfId="97"/>
    <cellStyle name="60% - Accent2 8" xfId="98"/>
    <cellStyle name="60% - Accent2 8 2" xfId="99"/>
    <cellStyle name="60% - Accent2 8 3" xfId="100"/>
    <cellStyle name="60% - Accent2 8 4" xfId="101"/>
    <cellStyle name="60% - Accent2 9" xfId="102"/>
    <cellStyle name="60% - Accent2 9 2" xfId="103"/>
    <cellStyle name="60% - Accent3" xfId="104"/>
    <cellStyle name="60% - Accent3 10" xfId="105"/>
    <cellStyle name="60% - Accent3 11" xfId="106"/>
    <cellStyle name="60% - Accent3 2" xfId="107"/>
    <cellStyle name="60% - Accent3 2 2" xfId="108"/>
    <cellStyle name="60% - Accent3 2 3" xfId="109"/>
    <cellStyle name="60% - Accent3 2 4" xfId="110"/>
    <cellStyle name="60% - Accent3 3" xfId="111"/>
    <cellStyle name="60% - Accent3 3 2" xfId="112"/>
    <cellStyle name="60% - Accent3 3 3" xfId="113"/>
    <cellStyle name="60% - Accent3 3 4" xfId="114"/>
    <cellStyle name="60% - Accent3 4" xfId="115"/>
    <cellStyle name="60% - Accent3 4 2" xfId="116"/>
    <cellStyle name="60% - Accent3 4 3" xfId="117"/>
    <cellStyle name="60% - Accent3 4 4" xfId="118"/>
    <cellStyle name="60% - Accent3 5" xfId="119"/>
    <cellStyle name="60% - Accent3 5 2" xfId="120"/>
    <cellStyle name="60% - Accent3 5 3" xfId="121"/>
    <cellStyle name="60% - Accent3 5 4" xfId="122"/>
    <cellStyle name="60% - Accent3 6" xfId="123"/>
    <cellStyle name="60% - Accent3 6 2" xfId="124"/>
    <cellStyle name="60% - Accent3 6 3" xfId="125"/>
    <cellStyle name="60% - Accent3 6 4" xfId="126"/>
    <cellStyle name="60% - Accent3 7" xfId="127"/>
    <cellStyle name="60% - Accent3 7 2" xfId="128"/>
    <cellStyle name="60% - Accent3 7 3" xfId="129"/>
    <cellStyle name="60% - Accent3 7 4" xfId="130"/>
    <cellStyle name="60% - Accent3 8" xfId="131"/>
    <cellStyle name="60% - Accent3 8 2" xfId="132"/>
    <cellStyle name="60% - Accent3 8 3" xfId="133"/>
    <cellStyle name="60% - Accent3 8 4" xfId="134"/>
    <cellStyle name="60% - Accent3 9" xfId="135"/>
    <cellStyle name="60% - Accent3 9 2" xfId="136"/>
    <cellStyle name="60% - Accent4" xfId="137"/>
    <cellStyle name="60% - Accent4 10" xfId="138"/>
    <cellStyle name="60% - Accent4 11" xfId="139"/>
    <cellStyle name="60% - Accent4 2" xfId="140"/>
    <cellStyle name="60% - Accent4 2 2" xfId="141"/>
    <cellStyle name="60% - Accent4 2 3" xfId="142"/>
    <cellStyle name="60% - Accent4 2 4" xfId="143"/>
    <cellStyle name="60% - Accent4 3" xfId="144"/>
    <cellStyle name="60% - Accent4 3 2" xfId="145"/>
    <cellStyle name="60% - Accent4 3 3" xfId="146"/>
    <cellStyle name="60% - Accent4 3 4" xfId="147"/>
    <cellStyle name="60% - Accent4 4" xfId="148"/>
    <cellStyle name="60% - Accent4 4 2" xfId="149"/>
    <cellStyle name="60% - Accent4 4 3" xfId="150"/>
    <cellStyle name="60% - Accent4 4 4" xfId="151"/>
    <cellStyle name="60% - Accent4 5" xfId="152"/>
    <cellStyle name="60% - Accent4 5 2" xfId="153"/>
    <cellStyle name="60% - Accent4 5 3" xfId="154"/>
    <cellStyle name="60% - Accent4 5 4" xfId="155"/>
    <cellStyle name="60% - Accent4 6" xfId="156"/>
    <cellStyle name="60% - Accent4 6 2" xfId="157"/>
    <cellStyle name="60% - Accent4 6 3" xfId="158"/>
    <cellStyle name="60% - Accent4 6 4" xfId="159"/>
    <cellStyle name="60% - Accent4 7" xfId="160"/>
    <cellStyle name="60% - Accent4 7 2" xfId="161"/>
    <cellStyle name="60% - Accent4 7 3" xfId="162"/>
    <cellStyle name="60% - Accent4 7 4" xfId="163"/>
    <cellStyle name="60% - Accent4 8" xfId="164"/>
    <cellStyle name="60% - Accent4 8 2" xfId="165"/>
    <cellStyle name="60% - Accent4 8 3" xfId="166"/>
    <cellStyle name="60% - Accent4 8 4" xfId="167"/>
    <cellStyle name="60% - Accent4 9" xfId="168"/>
    <cellStyle name="60% - Accent4 9 2" xfId="169"/>
    <cellStyle name="60% - Accent5" xfId="170"/>
    <cellStyle name="60% - Accent5 10" xfId="171"/>
    <cellStyle name="60% - Accent5 11" xfId="172"/>
    <cellStyle name="60% - Accent5 2" xfId="173"/>
    <cellStyle name="60% - Accent5 2 2" xfId="174"/>
    <cellStyle name="60% - Accent5 2 3" xfId="175"/>
    <cellStyle name="60% - Accent5 2 4" xfId="176"/>
    <cellStyle name="60% - Accent5 3" xfId="177"/>
    <cellStyle name="60% - Accent5 3 2" xfId="178"/>
    <cellStyle name="60% - Accent5 3 3" xfId="179"/>
    <cellStyle name="60% - Accent5 3 4" xfId="180"/>
    <cellStyle name="60% - Accent5 4" xfId="181"/>
    <cellStyle name="60% - Accent5 4 2" xfId="182"/>
    <cellStyle name="60% - Accent5 4 3" xfId="183"/>
    <cellStyle name="60% - Accent5 4 4" xfId="184"/>
    <cellStyle name="60% - Accent5 5" xfId="185"/>
    <cellStyle name="60% - Accent5 5 2" xfId="186"/>
    <cellStyle name="60% - Accent5 5 3" xfId="187"/>
    <cellStyle name="60% - Accent5 5 4" xfId="188"/>
    <cellStyle name="60% - Accent5 6" xfId="189"/>
    <cellStyle name="60% - Accent5 6 2" xfId="190"/>
    <cellStyle name="60% - Accent5 6 3" xfId="191"/>
    <cellStyle name="60% - Accent5 6 4" xfId="192"/>
    <cellStyle name="60% - Accent5 7" xfId="193"/>
    <cellStyle name="60% - Accent5 7 2" xfId="194"/>
    <cellStyle name="60% - Accent5 7 3" xfId="195"/>
    <cellStyle name="60% - Accent5 7 4" xfId="196"/>
    <cellStyle name="60% - Accent5 8" xfId="197"/>
    <cellStyle name="60% - Accent5 8 2" xfId="198"/>
    <cellStyle name="60% - Accent5 8 3" xfId="199"/>
    <cellStyle name="60% - Accent5 8 4" xfId="200"/>
    <cellStyle name="60% - Accent5 9" xfId="201"/>
    <cellStyle name="60% - Accent5 9 2" xfId="202"/>
    <cellStyle name="60% - Accent6" xfId="203"/>
    <cellStyle name="60% - Accent6 10" xfId="204"/>
    <cellStyle name="60% - Accent6 11" xfId="205"/>
    <cellStyle name="60% - Accent6 2" xfId="206"/>
    <cellStyle name="60% - Accent6 2 2" xfId="207"/>
    <cellStyle name="60% - Accent6 2 3" xfId="208"/>
    <cellStyle name="60% - Accent6 2 4" xfId="209"/>
    <cellStyle name="60% - Accent6 3" xfId="210"/>
    <cellStyle name="60% - Accent6 3 2" xfId="211"/>
    <cellStyle name="60% - Accent6 3 3" xfId="212"/>
    <cellStyle name="60% - Accent6 3 4" xfId="213"/>
    <cellStyle name="60% - Accent6 4" xfId="214"/>
    <cellStyle name="60% - Accent6 4 2" xfId="215"/>
    <cellStyle name="60% - Accent6 4 3" xfId="216"/>
    <cellStyle name="60% - Accent6 4 4" xfId="217"/>
    <cellStyle name="60% - Accent6 5" xfId="218"/>
    <cellStyle name="60% - Accent6 5 2" xfId="219"/>
    <cellStyle name="60% - Accent6 5 3" xfId="220"/>
    <cellStyle name="60% - Accent6 5 4" xfId="221"/>
    <cellStyle name="60% - Accent6 6" xfId="222"/>
    <cellStyle name="60% - Accent6 6 2" xfId="223"/>
    <cellStyle name="60% - Accent6 6 3" xfId="224"/>
    <cellStyle name="60% - Accent6 6 4" xfId="225"/>
    <cellStyle name="60% - Accent6 7" xfId="226"/>
    <cellStyle name="60% - Accent6 7 2" xfId="227"/>
    <cellStyle name="60% - Accent6 7 3" xfId="228"/>
    <cellStyle name="60% - Accent6 7 4" xfId="229"/>
    <cellStyle name="60% - Accent6 8" xfId="230"/>
    <cellStyle name="60% - Accent6 8 2" xfId="231"/>
    <cellStyle name="60% - Accent6 8 3" xfId="232"/>
    <cellStyle name="60% - Accent6 8 4" xfId="233"/>
    <cellStyle name="60% - Accent6 9" xfId="234"/>
    <cellStyle name="60% - Accent6 9 2" xfId="235"/>
    <cellStyle name="Accent1" xfId="236"/>
    <cellStyle name="Accent1 10" xfId="237"/>
    <cellStyle name="Accent1 11" xfId="238"/>
    <cellStyle name="Accent1 2" xfId="239"/>
    <cellStyle name="Accent1 2 2" xfId="240"/>
    <cellStyle name="Accent1 2 3" xfId="241"/>
    <cellStyle name="Accent1 2 4" xfId="242"/>
    <cellStyle name="Accent1 3" xfId="243"/>
    <cellStyle name="Accent1 3 2" xfId="244"/>
    <cellStyle name="Accent1 3 3" xfId="245"/>
    <cellStyle name="Accent1 3 4" xfId="246"/>
    <cellStyle name="Accent1 4" xfId="247"/>
    <cellStyle name="Accent1 4 2" xfId="248"/>
    <cellStyle name="Accent1 4 3" xfId="249"/>
    <cellStyle name="Accent1 4 4" xfId="250"/>
    <cellStyle name="Accent1 5" xfId="251"/>
    <cellStyle name="Accent1 5 2" xfId="252"/>
    <cellStyle name="Accent1 5 3" xfId="253"/>
    <cellStyle name="Accent1 5 4" xfId="254"/>
    <cellStyle name="Accent1 6" xfId="255"/>
    <cellStyle name="Accent1 6 2" xfId="256"/>
    <cellStyle name="Accent1 6 3" xfId="257"/>
    <cellStyle name="Accent1 6 4" xfId="258"/>
    <cellStyle name="Accent1 7" xfId="259"/>
    <cellStyle name="Accent1 7 2" xfId="260"/>
    <cellStyle name="Accent1 7 3" xfId="261"/>
    <cellStyle name="Accent1 7 4" xfId="262"/>
    <cellStyle name="Accent1 8" xfId="263"/>
    <cellStyle name="Accent1 8 2" xfId="264"/>
    <cellStyle name="Accent1 8 3" xfId="265"/>
    <cellStyle name="Accent1 8 4" xfId="266"/>
    <cellStyle name="Accent1 9" xfId="267"/>
    <cellStyle name="Accent1 9 2" xfId="268"/>
    <cellStyle name="Accent2" xfId="269"/>
    <cellStyle name="Accent2 10" xfId="270"/>
    <cellStyle name="Accent2 11" xfId="271"/>
    <cellStyle name="Accent2 2" xfId="272"/>
    <cellStyle name="Accent2 2 2" xfId="273"/>
    <cellStyle name="Accent2 2 3" xfId="274"/>
    <cellStyle name="Accent2 2 4" xfId="275"/>
    <cellStyle name="Accent2 3" xfId="276"/>
    <cellStyle name="Accent2 3 2" xfId="277"/>
    <cellStyle name="Accent2 3 3" xfId="278"/>
    <cellStyle name="Accent2 3 4" xfId="279"/>
    <cellStyle name="Accent2 4" xfId="280"/>
    <cellStyle name="Accent2 4 2" xfId="281"/>
    <cellStyle name="Accent2 4 3" xfId="282"/>
    <cellStyle name="Accent2 4 4" xfId="283"/>
    <cellStyle name="Accent2 5" xfId="284"/>
    <cellStyle name="Accent2 5 2" xfId="285"/>
    <cellStyle name="Accent2 5 3" xfId="286"/>
    <cellStyle name="Accent2 5 4" xfId="287"/>
    <cellStyle name="Accent2 6" xfId="288"/>
    <cellStyle name="Accent2 6 2" xfId="289"/>
    <cellStyle name="Accent2 6 3" xfId="290"/>
    <cellStyle name="Accent2 6 4" xfId="291"/>
    <cellStyle name="Accent2 7" xfId="292"/>
    <cellStyle name="Accent2 7 2" xfId="293"/>
    <cellStyle name="Accent2 7 3" xfId="294"/>
    <cellStyle name="Accent2 7 4" xfId="295"/>
    <cellStyle name="Accent2 8" xfId="296"/>
    <cellStyle name="Accent2 8 2" xfId="297"/>
    <cellStyle name="Accent2 8 3" xfId="298"/>
    <cellStyle name="Accent2 8 4" xfId="299"/>
    <cellStyle name="Accent2 9" xfId="300"/>
    <cellStyle name="Accent2 9 2" xfId="301"/>
    <cellStyle name="Accent3" xfId="302"/>
    <cellStyle name="Accent3 10" xfId="303"/>
    <cellStyle name="Accent3 11" xfId="304"/>
    <cellStyle name="Accent3 2" xfId="305"/>
    <cellStyle name="Accent3 2 2" xfId="306"/>
    <cellStyle name="Accent3 2 3" xfId="307"/>
    <cellStyle name="Accent3 2 4" xfId="308"/>
    <cellStyle name="Accent3 3" xfId="309"/>
    <cellStyle name="Accent3 3 2" xfId="310"/>
    <cellStyle name="Accent3 3 3" xfId="311"/>
    <cellStyle name="Accent3 3 4" xfId="312"/>
    <cellStyle name="Accent3 4" xfId="313"/>
    <cellStyle name="Accent3 4 2" xfId="314"/>
    <cellStyle name="Accent3 4 3" xfId="315"/>
    <cellStyle name="Accent3 4 4" xfId="316"/>
    <cellStyle name="Accent3 5" xfId="317"/>
    <cellStyle name="Accent3 5 2" xfId="318"/>
    <cellStyle name="Accent3 5 3" xfId="319"/>
    <cellStyle name="Accent3 5 4" xfId="320"/>
    <cellStyle name="Accent3 6" xfId="321"/>
    <cellStyle name="Accent3 6 2" xfId="322"/>
    <cellStyle name="Accent3 6 3" xfId="323"/>
    <cellStyle name="Accent3 6 4" xfId="324"/>
    <cellStyle name="Accent3 7" xfId="325"/>
    <cellStyle name="Accent3 7 2" xfId="326"/>
    <cellStyle name="Accent3 7 3" xfId="327"/>
    <cellStyle name="Accent3 7 4" xfId="328"/>
    <cellStyle name="Accent3 8" xfId="329"/>
    <cellStyle name="Accent3 8 2" xfId="330"/>
    <cellStyle name="Accent3 8 3" xfId="331"/>
    <cellStyle name="Accent3 8 4" xfId="332"/>
    <cellStyle name="Accent3 9" xfId="333"/>
    <cellStyle name="Accent3 9 2" xfId="334"/>
    <cellStyle name="Accent4" xfId="335"/>
    <cellStyle name="Accent4 10" xfId="336"/>
    <cellStyle name="Accent4 11" xfId="337"/>
    <cellStyle name="Accent4 2" xfId="338"/>
    <cellStyle name="Accent4 2 2" xfId="339"/>
    <cellStyle name="Accent4 2 3" xfId="340"/>
    <cellStyle name="Accent4 2 4" xfId="341"/>
    <cellStyle name="Accent4 3" xfId="342"/>
    <cellStyle name="Accent4 3 2" xfId="343"/>
    <cellStyle name="Accent4 3 3" xfId="344"/>
    <cellStyle name="Accent4 3 4" xfId="345"/>
    <cellStyle name="Accent4 4" xfId="346"/>
    <cellStyle name="Accent4 4 2" xfId="347"/>
    <cellStyle name="Accent4 4 3" xfId="348"/>
    <cellStyle name="Accent4 4 4" xfId="349"/>
    <cellStyle name="Accent4 5" xfId="350"/>
    <cellStyle name="Accent4 5 2" xfId="351"/>
    <cellStyle name="Accent4 5 3" xfId="352"/>
    <cellStyle name="Accent4 5 4" xfId="353"/>
    <cellStyle name="Accent4 6" xfId="354"/>
    <cellStyle name="Accent4 6 2" xfId="355"/>
    <cellStyle name="Accent4 6 3" xfId="356"/>
    <cellStyle name="Accent4 6 4" xfId="357"/>
    <cellStyle name="Accent4 7" xfId="358"/>
    <cellStyle name="Accent4 7 2" xfId="359"/>
    <cellStyle name="Accent4 7 3" xfId="360"/>
    <cellStyle name="Accent4 7 4" xfId="361"/>
    <cellStyle name="Accent4 8" xfId="362"/>
    <cellStyle name="Accent4 8 2" xfId="363"/>
    <cellStyle name="Accent4 8 3" xfId="364"/>
    <cellStyle name="Accent4 8 4" xfId="365"/>
    <cellStyle name="Accent4 9" xfId="366"/>
    <cellStyle name="Accent4 9 2" xfId="367"/>
    <cellStyle name="Accent5" xfId="368"/>
    <cellStyle name="Accent5 10" xfId="369"/>
    <cellStyle name="Accent5 11" xfId="370"/>
    <cellStyle name="Accent5 2" xfId="371"/>
    <cellStyle name="Accent5 2 2" xfId="372"/>
    <cellStyle name="Accent5 2 3" xfId="373"/>
    <cellStyle name="Accent5 2 4" xfId="374"/>
    <cellStyle name="Accent5 3" xfId="375"/>
    <cellStyle name="Accent5 3 2" xfId="376"/>
    <cellStyle name="Accent5 3 3" xfId="377"/>
    <cellStyle name="Accent5 3 4" xfId="378"/>
    <cellStyle name="Accent5 4" xfId="379"/>
    <cellStyle name="Accent5 4 2" xfId="380"/>
    <cellStyle name="Accent5 4 3" xfId="381"/>
    <cellStyle name="Accent5 4 4" xfId="382"/>
    <cellStyle name="Accent5 5" xfId="383"/>
    <cellStyle name="Accent5 5 2" xfId="384"/>
    <cellStyle name="Accent5 5 3" xfId="385"/>
    <cellStyle name="Accent5 5 4" xfId="386"/>
    <cellStyle name="Accent5 6" xfId="387"/>
    <cellStyle name="Accent5 6 2" xfId="388"/>
    <cellStyle name="Accent5 6 3" xfId="389"/>
    <cellStyle name="Accent5 6 4" xfId="390"/>
    <cellStyle name="Accent5 7" xfId="391"/>
    <cellStyle name="Accent5 7 2" xfId="392"/>
    <cellStyle name="Accent5 7 3" xfId="393"/>
    <cellStyle name="Accent5 7 4" xfId="394"/>
    <cellStyle name="Accent5 8" xfId="395"/>
    <cellStyle name="Accent5 8 2" xfId="396"/>
    <cellStyle name="Accent5 8 3" xfId="397"/>
    <cellStyle name="Accent5 8 4" xfId="398"/>
    <cellStyle name="Accent5 9" xfId="399"/>
    <cellStyle name="Accent5 9 2" xfId="400"/>
    <cellStyle name="Accent6" xfId="401"/>
    <cellStyle name="Accent6 10" xfId="402"/>
    <cellStyle name="Accent6 11" xfId="403"/>
    <cellStyle name="Accent6 2" xfId="404"/>
    <cellStyle name="Accent6 2 2" xfId="405"/>
    <cellStyle name="Accent6 2 3" xfId="406"/>
    <cellStyle name="Accent6 2 4" xfId="407"/>
    <cellStyle name="Accent6 3" xfId="408"/>
    <cellStyle name="Accent6 3 2" xfId="409"/>
    <cellStyle name="Accent6 3 3" xfId="410"/>
    <cellStyle name="Accent6 3 4" xfId="411"/>
    <cellStyle name="Accent6 4" xfId="412"/>
    <cellStyle name="Accent6 4 2" xfId="413"/>
    <cellStyle name="Accent6 4 3" xfId="414"/>
    <cellStyle name="Accent6 4 4" xfId="415"/>
    <cellStyle name="Accent6 5" xfId="416"/>
    <cellStyle name="Accent6 5 2" xfId="417"/>
    <cellStyle name="Accent6 5 3" xfId="418"/>
    <cellStyle name="Accent6 5 4" xfId="419"/>
    <cellStyle name="Accent6 6" xfId="420"/>
    <cellStyle name="Accent6 6 2" xfId="421"/>
    <cellStyle name="Accent6 6 3" xfId="422"/>
    <cellStyle name="Accent6 6 4" xfId="423"/>
    <cellStyle name="Accent6 7" xfId="424"/>
    <cellStyle name="Accent6 7 2" xfId="425"/>
    <cellStyle name="Accent6 7 3" xfId="426"/>
    <cellStyle name="Accent6 7 4" xfId="427"/>
    <cellStyle name="Accent6 8" xfId="428"/>
    <cellStyle name="Accent6 8 2" xfId="429"/>
    <cellStyle name="Accent6 8 3" xfId="430"/>
    <cellStyle name="Accent6 8 4" xfId="431"/>
    <cellStyle name="Accent6 9" xfId="432"/>
    <cellStyle name="Accent6 9 2" xfId="433"/>
    <cellStyle name="Bad 1" xfId="434"/>
    <cellStyle name="Bad 10" xfId="435"/>
    <cellStyle name="Bad 11" xfId="436"/>
    <cellStyle name="Bad 2" xfId="437"/>
    <cellStyle name="Bad 2 2" xfId="438"/>
    <cellStyle name="Bad 2 3" xfId="439"/>
    <cellStyle name="Bad 2 4" xfId="440"/>
    <cellStyle name="Bad 3" xfId="441"/>
    <cellStyle name="Bad 3 2" xfId="442"/>
    <cellStyle name="Bad 3 3" xfId="443"/>
    <cellStyle name="Bad 3 4" xfId="444"/>
    <cellStyle name="Bad 4" xfId="445"/>
    <cellStyle name="Bad 4 2" xfId="446"/>
    <cellStyle name="Bad 4 3" xfId="447"/>
    <cellStyle name="Bad 4 4" xfId="448"/>
    <cellStyle name="Bad 5" xfId="449"/>
    <cellStyle name="Bad 5 2" xfId="450"/>
    <cellStyle name="Bad 5 3" xfId="451"/>
    <cellStyle name="Bad 5 4" xfId="452"/>
    <cellStyle name="Bad 6" xfId="453"/>
    <cellStyle name="Bad 6 2" xfId="454"/>
    <cellStyle name="Bad 6 3" xfId="455"/>
    <cellStyle name="Bad 6 4" xfId="456"/>
    <cellStyle name="Bad 7" xfId="457"/>
    <cellStyle name="Bad 7 2" xfId="458"/>
    <cellStyle name="Bad 7 3" xfId="459"/>
    <cellStyle name="Bad 7 4" xfId="460"/>
    <cellStyle name="Bad 8" xfId="461"/>
    <cellStyle name="Bad 8 2" xfId="462"/>
    <cellStyle name="Bad 8 3" xfId="463"/>
    <cellStyle name="Bad 8 4" xfId="464"/>
    <cellStyle name="Bad 9" xfId="465"/>
    <cellStyle name="Bad 9 2" xfId="466"/>
    <cellStyle name="Calculation" xfId="467"/>
    <cellStyle name="Calculation 10" xfId="468"/>
    <cellStyle name="Calculation 2" xfId="469"/>
    <cellStyle name="Calculation 2 2" xfId="470"/>
    <cellStyle name="Calculation 2 3" xfId="471"/>
    <cellStyle name="Calculation 2 4" xfId="472"/>
    <cellStyle name="Calculation 3" xfId="473"/>
    <cellStyle name="Calculation 3 2" xfId="474"/>
    <cellStyle name="Calculation 3 3" xfId="475"/>
    <cellStyle name="Calculation 3 4" xfId="476"/>
    <cellStyle name="Calculation 4" xfId="477"/>
    <cellStyle name="Calculation 4 2" xfId="478"/>
    <cellStyle name="Calculation 4 3" xfId="479"/>
    <cellStyle name="Calculation 4 4" xfId="480"/>
    <cellStyle name="Calculation 5" xfId="481"/>
    <cellStyle name="Calculation 5 2" xfId="482"/>
    <cellStyle name="Calculation 5 3" xfId="483"/>
    <cellStyle name="Calculation 5 4" xfId="484"/>
    <cellStyle name="Calculation 6" xfId="485"/>
    <cellStyle name="Calculation 6 2" xfId="486"/>
    <cellStyle name="Calculation 6 3" xfId="487"/>
    <cellStyle name="Calculation 6 4" xfId="488"/>
    <cellStyle name="Calculation 7" xfId="489"/>
    <cellStyle name="Calculation 7 2" xfId="490"/>
    <cellStyle name="Calculation 7 3" xfId="491"/>
    <cellStyle name="Calculation 7 4" xfId="492"/>
    <cellStyle name="Calculation 8" xfId="493"/>
    <cellStyle name="Calculation 8 2" xfId="494"/>
    <cellStyle name="Calculation 8 3" xfId="495"/>
    <cellStyle name="Calculation 8 4" xfId="496"/>
    <cellStyle name="Calculation 9" xfId="497"/>
    <cellStyle name="Calculation 9 2" xfId="498"/>
    <cellStyle name="Calculation 9 3" xfId="499"/>
    <cellStyle name="Calculation 9 4" xfId="500"/>
    <cellStyle name="Calculation 9 5" xfId="501"/>
    <cellStyle name="Check Cell" xfId="502"/>
    <cellStyle name="Check Cell 10" xfId="503"/>
    <cellStyle name="Check Cell 2" xfId="504"/>
    <cellStyle name="Check Cell 2 2" xfId="505"/>
    <cellStyle name="Check Cell 2 3" xfId="506"/>
    <cellStyle name="Check Cell 2 4" xfId="507"/>
    <cellStyle name="Check Cell 3" xfId="508"/>
    <cellStyle name="Check Cell 3 2" xfId="509"/>
    <cellStyle name="Check Cell 3 3" xfId="510"/>
    <cellStyle name="Check Cell 3 4" xfId="511"/>
    <cellStyle name="Check Cell 4" xfId="512"/>
    <cellStyle name="Check Cell 4 2" xfId="513"/>
    <cellStyle name="Check Cell 4 3" xfId="514"/>
    <cellStyle name="Check Cell 4 4" xfId="515"/>
    <cellStyle name="Check Cell 5" xfId="516"/>
    <cellStyle name="Check Cell 5 2" xfId="517"/>
    <cellStyle name="Check Cell 5 3" xfId="518"/>
    <cellStyle name="Check Cell 5 4" xfId="519"/>
    <cellStyle name="Check Cell 6" xfId="520"/>
    <cellStyle name="Check Cell 6 2" xfId="521"/>
    <cellStyle name="Check Cell 6 3" xfId="522"/>
    <cellStyle name="Check Cell 6 4" xfId="523"/>
    <cellStyle name="Check Cell 7" xfId="524"/>
    <cellStyle name="Check Cell 7 2" xfId="525"/>
    <cellStyle name="Check Cell 7 3" xfId="526"/>
    <cellStyle name="Check Cell 7 4" xfId="527"/>
    <cellStyle name="Check Cell 8" xfId="528"/>
    <cellStyle name="Check Cell 8 2" xfId="529"/>
    <cellStyle name="Check Cell 8 3" xfId="530"/>
    <cellStyle name="Check Cell 8 4" xfId="531"/>
    <cellStyle name="Check Cell 9" xfId="532"/>
    <cellStyle name="Check Cell 9 2" xfId="533"/>
    <cellStyle name="Explanatory Text" xfId="534"/>
    <cellStyle name="Explanatory Text 10" xfId="535"/>
    <cellStyle name="Explanatory Text 11" xfId="536"/>
    <cellStyle name="Explanatory Text 2" xfId="537"/>
    <cellStyle name="Explanatory Text 2 2" xfId="538"/>
    <cellStyle name="Explanatory Text 2 3" xfId="539"/>
    <cellStyle name="Explanatory Text 2 4" xfId="540"/>
    <cellStyle name="Explanatory Text 3" xfId="541"/>
    <cellStyle name="Explanatory Text 3 2" xfId="542"/>
    <cellStyle name="Explanatory Text 3 3" xfId="543"/>
    <cellStyle name="Explanatory Text 3 4" xfId="544"/>
    <cellStyle name="Explanatory Text 4" xfId="545"/>
    <cellStyle name="Explanatory Text 4 2" xfId="546"/>
    <cellStyle name="Explanatory Text 4 3" xfId="547"/>
    <cellStyle name="Explanatory Text 4 4" xfId="548"/>
    <cellStyle name="Explanatory Text 5" xfId="549"/>
    <cellStyle name="Explanatory Text 5 2" xfId="550"/>
    <cellStyle name="Explanatory Text 5 3" xfId="551"/>
    <cellStyle name="Explanatory Text 5 4" xfId="552"/>
    <cellStyle name="Explanatory Text 6" xfId="553"/>
    <cellStyle name="Explanatory Text 6 2" xfId="554"/>
    <cellStyle name="Explanatory Text 6 3" xfId="555"/>
    <cellStyle name="Explanatory Text 6 4" xfId="556"/>
    <cellStyle name="Explanatory Text 7" xfId="557"/>
    <cellStyle name="Explanatory Text 7 2" xfId="558"/>
    <cellStyle name="Explanatory Text 7 3" xfId="559"/>
    <cellStyle name="Explanatory Text 7 4" xfId="560"/>
    <cellStyle name="Explanatory Text 8" xfId="561"/>
    <cellStyle name="Explanatory Text 8 2" xfId="562"/>
    <cellStyle name="Explanatory Text 8 3" xfId="563"/>
    <cellStyle name="Explanatory Text 8 4" xfId="564"/>
    <cellStyle name="Explanatory Text 9" xfId="565"/>
    <cellStyle name="Explanatory Text 9 2" xfId="566"/>
    <cellStyle name="Good 10" xfId="567"/>
    <cellStyle name="Good 11" xfId="568"/>
    <cellStyle name="Good 12" xfId="569"/>
    <cellStyle name="Good 2" xfId="570"/>
    <cellStyle name="Good 2 2" xfId="571"/>
    <cellStyle name="Good 2 3" xfId="572"/>
    <cellStyle name="Good 2 4" xfId="573"/>
    <cellStyle name="Good 3" xfId="574"/>
    <cellStyle name="Good 3 2" xfId="575"/>
    <cellStyle name="Good 3 3" xfId="576"/>
    <cellStyle name="Good 3 4" xfId="577"/>
    <cellStyle name="Good 4" xfId="578"/>
    <cellStyle name="Good 4 2" xfId="579"/>
    <cellStyle name="Good 4 3" xfId="580"/>
    <cellStyle name="Good 4 4" xfId="581"/>
    <cellStyle name="Good 5" xfId="582"/>
    <cellStyle name="Good 5 2" xfId="583"/>
    <cellStyle name="Good 5 3" xfId="584"/>
    <cellStyle name="Good 5 4" xfId="585"/>
    <cellStyle name="Good 6" xfId="586"/>
    <cellStyle name="Good 6 2" xfId="587"/>
    <cellStyle name="Good 6 3" xfId="588"/>
    <cellStyle name="Good 6 4" xfId="589"/>
    <cellStyle name="Good 7" xfId="590"/>
    <cellStyle name="Good 7 2" xfId="591"/>
    <cellStyle name="Good 7 3" xfId="592"/>
    <cellStyle name="Good 7 4" xfId="593"/>
    <cellStyle name="Good 8" xfId="594"/>
    <cellStyle name="Good 8 2" xfId="595"/>
    <cellStyle name="Good 8 3" xfId="596"/>
    <cellStyle name="Good 8 4" xfId="597"/>
    <cellStyle name="Good 9" xfId="598"/>
    <cellStyle name="Good 9 2" xfId="599"/>
    <cellStyle name="Heading 1 10" xfId="600"/>
    <cellStyle name="Heading 1 11" xfId="601"/>
    <cellStyle name="Heading 1 13" xfId="602"/>
    <cellStyle name="Heading 1 2" xfId="603"/>
    <cellStyle name="Heading 1 2 2" xfId="604"/>
    <cellStyle name="Heading 1 2 3" xfId="605"/>
    <cellStyle name="Heading 1 2 4" xfId="606"/>
    <cellStyle name="Heading 1 3" xfId="607"/>
    <cellStyle name="Heading 1 3 2" xfId="608"/>
    <cellStyle name="Heading 1 3 3" xfId="609"/>
    <cellStyle name="Heading 1 3 4" xfId="610"/>
    <cellStyle name="Heading 1 4" xfId="611"/>
    <cellStyle name="Heading 1 4 2" xfId="612"/>
    <cellStyle name="Heading 1 4 3" xfId="613"/>
    <cellStyle name="Heading 1 4 4" xfId="614"/>
    <cellStyle name="Heading 1 5" xfId="615"/>
    <cellStyle name="Heading 1 5 2" xfId="616"/>
    <cellStyle name="Heading 1 5 3" xfId="617"/>
    <cellStyle name="Heading 1 5 4" xfId="618"/>
    <cellStyle name="Heading 1 6" xfId="619"/>
    <cellStyle name="Heading 1 6 2" xfId="620"/>
    <cellStyle name="Heading 1 6 3" xfId="621"/>
    <cellStyle name="Heading 1 6 4" xfId="622"/>
    <cellStyle name="Heading 1 7" xfId="623"/>
    <cellStyle name="Heading 1 7 2" xfId="624"/>
    <cellStyle name="Heading 1 7 3" xfId="625"/>
    <cellStyle name="Heading 1 7 4" xfId="626"/>
    <cellStyle name="Heading 1 8" xfId="627"/>
    <cellStyle name="Heading 1 8 2" xfId="628"/>
    <cellStyle name="Heading 1 8 3" xfId="629"/>
    <cellStyle name="Heading 1 8 4" xfId="630"/>
    <cellStyle name="Heading 1 9" xfId="631"/>
    <cellStyle name="Heading 1 9 2" xfId="632"/>
    <cellStyle name="Heading 2 10" xfId="633"/>
    <cellStyle name="Heading 2 11" xfId="634"/>
    <cellStyle name="Heading 2 14" xfId="635"/>
    <cellStyle name="Heading 2 2" xfId="636"/>
    <cellStyle name="Heading 2 2 2" xfId="637"/>
    <cellStyle name="Heading 2 2 3" xfId="638"/>
    <cellStyle name="Heading 2 2 4" xfId="639"/>
    <cellStyle name="Heading 2 3" xfId="640"/>
    <cellStyle name="Heading 2 3 2" xfId="641"/>
    <cellStyle name="Heading 2 3 3" xfId="642"/>
    <cellStyle name="Heading 2 3 4" xfId="643"/>
    <cellStyle name="Heading 2 4" xfId="644"/>
    <cellStyle name="Heading 2 4 2" xfId="645"/>
    <cellStyle name="Heading 2 4 3" xfId="646"/>
    <cellStyle name="Heading 2 4 4" xfId="647"/>
    <cellStyle name="Heading 2 5" xfId="648"/>
    <cellStyle name="Heading 2 5 2" xfId="649"/>
    <cellStyle name="Heading 2 5 3" xfId="650"/>
    <cellStyle name="Heading 2 5 4" xfId="651"/>
    <cellStyle name="Heading 2 6" xfId="652"/>
    <cellStyle name="Heading 2 6 2" xfId="653"/>
    <cellStyle name="Heading 2 6 3" xfId="654"/>
    <cellStyle name="Heading 2 6 4" xfId="655"/>
    <cellStyle name="Heading 2 7" xfId="656"/>
    <cellStyle name="Heading 2 7 2" xfId="657"/>
    <cellStyle name="Heading 2 7 3" xfId="658"/>
    <cellStyle name="Heading 2 7 4" xfId="659"/>
    <cellStyle name="Heading 2 8" xfId="660"/>
    <cellStyle name="Heading 2 8 2" xfId="661"/>
    <cellStyle name="Heading 2 8 3" xfId="662"/>
    <cellStyle name="Heading 2 8 4" xfId="663"/>
    <cellStyle name="Heading 2 9" xfId="664"/>
    <cellStyle name="Heading 2 9 2" xfId="665"/>
    <cellStyle name="Heading 3" xfId="666"/>
    <cellStyle name="Heading 3 10" xfId="667"/>
    <cellStyle name="Heading 3 11" xfId="668"/>
    <cellStyle name="Heading 3 2" xfId="669"/>
    <cellStyle name="Heading 3 2 2" xfId="670"/>
    <cellStyle name="Heading 3 2 3" xfId="671"/>
    <cellStyle name="Heading 3 2 4" xfId="672"/>
    <cellStyle name="Heading 3 3" xfId="673"/>
    <cellStyle name="Heading 3 3 2" xfId="674"/>
    <cellStyle name="Heading 3 3 3" xfId="675"/>
    <cellStyle name="Heading 3 3 4" xfId="676"/>
    <cellStyle name="Heading 3 4" xfId="677"/>
    <cellStyle name="Heading 3 4 2" xfId="678"/>
    <cellStyle name="Heading 3 4 3" xfId="679"/>
    <cellStyle name="Heading 3 4 4" xfId="680"/>
    <cellStyle name="Heading 3 5" xfId="681"/>
    <cellStyle name="Heading 3 5 2" xfId="682"/>
    <cellStyle name="Heading 3 5 3" xfId="683"/>
    <cellStyle name="Heading 3 5 4" xfId="684"/>
    <cellStyle name="Heading 3 6" xfId="685"/>
    <cellStyle name="Heading 3 6 2" xfId="686"/>
    <cellStyle name="Heading 3 6 3" xfId="687"/>
    <cellStyle name="Heading 3 6 4" xfId="688"/>
    <cellStyle name="Heading 3 7" xfId="689"/>
    <cellStyle name="Heading 3 7 2" xfId="690"/>
    <cellStyle name="Heading 3 7 3" xfId="691"/>
    <cellStyle name="Heading 3 7 4" xfId="692"/>
    <cellStyle name="Heading 3 8" xfId="693"/>
    <cellStyle name="Heading 3 8 2" xfId="694"/>
    <cellStyle name="Heading 3 8 3" xfId="695"/>
    <cellStyle name="Heading 3 8 4" xfId="696"/>
    <cellStyle name="Heading 3 9" xfId="697"/>
    <cellStyle name="Heading 3 9 2" xfId="698"/>
    <cellStyle name="Heading 4" xfId="699"/>
    <cellStyle name="Heading 4 10" xfId="700"/>
    <cellStyle name="Heading 4 11" xfId="701"/>
    <cellStyle name="Heading 4 2" xfId="702"/>
    <cellStyle name="Heading 4 2 2" xfId="703"/>
    <cellStyle name="Heading 4 2 3" xfId="704"/>
    <cellStyle name="Heading 4 2 4" xfId="705"/>
    <cellStyle name="Heading 4 3" xfId="706"/>
    <cellStyle name="Heading 4 3 2" xfId="707"/>
    <cellStyle name="Heading 4 3 3" xfId="708"/>
    <cellStyle name="Heading 4 3 4" xfId="709"/>
    <cellStyle name="Heading 4 4" xfId="710"/>
    <cellStyle name="Heading 4 4 2" xfId="711"/>
    <cellStyle name="Heading 4 4 3" xfId="712"/>
    <cellStyle name="Heading 4 4 4" xfId="713"/>
    <cellStyle name="Heading 4 5" xfId="714"/>
    <cellStyle name="Heading 4 5 2" xfId="715"/>
    <cellStyle name="Heading 4 5 3" xfId="716"/>
    <cellStyle name="Heading 4 5 4" xfId="717"/>
    <cellStyle name="Heading 4 6" xfId="718"/>
    <cellStyle name="Heading 4 6 2" xfId="719"/>
    <cellStyle name="Heading 4 6 3" xfId="720"/>
    <cellStyle name="Heading 4 6 4" xfId="721"/>
    <cellStyle name="Heading 4 7" xfId="722"/>
    <cellStyle name="Heading 4 7 2" xfId="723"/>
    <cellStyle name="Heading 4 7 3" xfId="724"/>
    <cellStyle name="Heading 4 7 4" xfId="725"/>
    <cellStyle name="Heading 4 8" xfId="726"/>
    <cellStyle name="Heading 4 8 2" xfId="727"/>
    <cellStyle name="Heading 4 8 3" xfId="728"/>
    <cellStyle name="Heading 4 8 4" xfId="729"/>
    <cellStyle name="Heading 4 9" xfId="730"/>
    <cellStyle name="Heading 4 9 2" xfId="731"/>
    <cellStyle name="Input" xfId="732"/>
    <cellStyle name="Input 10" xfId="733"/>
    <cellStyle name="Input 11" xfId="734"/>
    <cellStyle name="Input 2" xfId="735"/>
    <cellStyle name="Input 2 2" xfId="736"/>
    <cellStyle name="Input 2 3" xfId="737"/>
    <cellStyle name="Input 2 4" xfId="738"/>
    <cellStyle name="Input 3" xfId="739"/>
    <cellStyle name="Input 3 2" xfId="740"/>
    <cellStyle name="Input 3 3" xfId="741"/>
    <cellStyle name="Input 3 4" xfId="742"/>
    <cellStyle name="Input 4" xfId="743"/>
    <cellStyle name="Input 4 2" xfId="744"/>
    <cellStyle name="Input 4 3" xfId="745"/>
    <cellStyle name="Input 4 4" xfId="746"/>
    <cellStyle name="Input 5" xfId="747"/>
    <cellStyle name="Input 5 2" xfId="748"/>
    <cellStyle name="Input 5 3" xfId="749"/>
    <cellStyle name="Input 5 4" xfId="750"/>
    <cellStyle name="Input 6" xfId="751"/>
    <cellStyle name="Input 6 2" xfId="752"/>
    <cellStyle name="Input 6 3" xfId="753"/>
    <cellStyle name="Input 6 4" xfId="754"/>
    <cellStyle name="Input 7" xfId="755"/>
    <cellStyle name="Input 7 2" xfId="756"/>
    <cellStyle name="Input 7 3" xfId="757"/>
    <cellStyle name="Input 7 4" xfId="758"/>
    <cellStyle name="Input 8" xfId="759"/>
    <cellStyle name="Input 8 2" xfId="760"/>
    <cellStyle name="Input 8 3" xfId="761"/>
    <cellStyle name="Input 8 4" xfId="762"/>
    <cellStyle name="Input 9" xfId="763"/>
    <cellStyle name="Input 9 2" xfId="764"/>
    <cellStyle name="Linked Cell" xfId="765"/>
    <cellStyle name="Linked Cell 10" xfId="766"/>
    <cellStyle name="Linked Cell 11" xfId="767"/>
    <cellStyle name="Linked Cell 2" xfId="768"/>
    <cellStyle name="Linked Cell 2 2" xfId="769"/>
    <cellStyle name="Linked Cell 2 3" xfId="770"/>
    <cellStyle name="Linked Cell 2 4" xfId="771"/>
    <cellStyle name="Linked Cell 3" xfId="772"/>
    <cellStyle name="Linked Cell 3 2" xfId="773"/>
    <cellStyle name="Linked Cell 3 3" xfId="774"/>
    <cellStyle name="Linked Cell 3 4" xfId="775"/>
    <cellStyle name="Linked Cell 4" xfId="776"/>
    <cellStyle name="Linked Cell 4 2" xfId="777"/>
    <cellStyle name="Linked Cell 4 3" xfId="778"/>
    <cellStyle name="Linked Cell 4 4" xfId="779"/>
    <cellStyle name="Linked Cell 5" xfId="780"/>
    <cellStyle name="Linked Cell 5 2" xfId="781"/>
    <cellStyle name="Linked Cell 5 3" xfId="782"/>
    <cellStyle name="Linked Cell 5 4" xfId="783"/>
    <cellStyle name="Linked Cell 6" xfId="784"/>
    <cellStyle name="Linked Cell 6 2" xfId="785"/>
    <cellStyle name="Linked Cell 6 3" xfId="786"/>
    <cellStyle name="Linked Cell 6 4" xfId="787"/>
    <cellStyle name="Linked Cell 7" xfId="788"/>
    <cellStyle name="Linked Cell 7 2" xfId="789"/>
    <cellStyle name="Linked Cell 7 3" xfId="790"/>
    <cellStyle name="Linked Cell 7 4" xfId="791"/>
    <cellStyle name="Linked Cell 8" xfId="792"/>
    <cellStyle name="Linked Cell 8 2" xfId="793"/>
    <cellStyle name="Linked Cell 8 3" xfId="794"/>
    <cellStyle name="Linked Cell 8 4" xfId="795"/>
    <cellStyle name="Linked Cell 9" xfId="796"/>
    <cellStyle name="Linked Cell 9 2" xfId="797"/>
    <cellStyle name="Moeda" xfId="1" builtinId="4"/>
    <cellStyle name="Moeda 2" xfId="798"/>
    <cellStyle name="Moeda 2 10" xfId="799"/>
    <cellStyle name="Moeda 2 11" xfId="800"/>
    <cellStyle name="Moeda 2 12" xfId="801"/>
    <cellStyle name="Moeda 2 13" xfId="802"/>
    <cellStyle name="Moeda 2 2" xfId="803"/>
    <cellStyle name="Moeda 2 3" xfId="804"/>
    <cellStyle name="Moeda 2 4" xfId="805"/>
    <cellStyle name="Moeda 2 5" xfId="806"/>
    <cellStyle name="Moeda 2 6" xfId="807"/>
    <cellStyle name="Moeda 2 7" xfId="808"/>
    <cellStyle name="Moeda 2 8" xfId="809"/>
    <cellStyle name="Moeda 2 9" xfId="810"/>
    <cellStyle name="Moeda 3" xfId="811"/>
    <cellStyle name="Moeda 4" xfId="812"/>
    <cellStyle name="Moeda 5" xfId="813"/>
    <cellStyle name="Neutral 10" xfId="814"/>
    <cellStyle name="Neutral 11" xfId="815"/>
    <cellStyle name="Neutral 15" xfId="816"/>
    <cellStyle name="Neutral 2" xfId="817"/>
    <cellStyle name="Neutral 2 2" xfId="818"/>
    <cellStyle name="Neutral 2 3" xfId="819"/>
    <cellStyle name="Neutral 2 4" xfId="820"/>
    <cellStyle name="Neutral 3" xfId="821"/>
    <cellStyle name="Neutral 3 2" xfId="822"/>
    <cellStyle name="Neutral 3 3" xfId="823"/>
    <cellStyle name="Neutral 3 4" xfId="824"/>
    <cellStyle name="Neutral 4" xfId="825"/>
    <cellStyle name="Neutral 4 2" xfId="826"/>
    <cellStyle name="Neutral 4 3" xfId="827"/>
    <cellStyle name="Neutral 4 4" xfId="828"/>
    <cellStyle name="Neutral 5" xfId="829"/>
    <cellStyle name="Neutral 5 2" xfId="830"/>
    <cellStyle name="Neutral 5 3" xfId="831"/>
    <cellStyle name="Neutral 5 4" xfId="832"/>
    <cellStyle name="Neutral 6" xfId="833"/>
    <cellStyle name="Neutral 6 2" xfId="834"/>
    <cellStyle name="Neutral 6 3" xfId="835"/>
    <cellStyle name="Neutral 6 4" xfId="836"/>
    <cellStyle name="Neutral 7" xfId="837"/>
    <cellStyle name="Neutral 7 2" xfId="838"/>
    <cellStyle name="Neutral 7 3" xfId="839"/>
    <cellStyle name="Neutral 7 4" xfId="840"/>
    <cellStyle name="Neutral 8" xfId="841"/>
    <cellStyle name="Neutral 8 2" xfId="842"/>
    <cellStyle name="Neutral 8 3" xfId="843"/>
    <cellStyle name="Neutral 8 4" xfId="844"/>
    <cellStyle name="Neutral 9" xfId="845"/>
    <cellStyle name="Neutral 9 2" xfId="846"/>
    <cellStyle name="Normal" xfId="0" builtinId="0"/>
    <cellStyle name="Normal 10" xfId="847"/>
    <cellStyle name="Normal 10 2" xfId="848"/>
    <cellStyle name="Normal 10 2 2" xfId="849"/>
    <cellStyle name="Normal 10 2 3" xfId="850"/>
    <cellStyle name="Normal 10 3" xfId="851"/>
    <cellStyle name="Normal 10 4" xfId="852"/>
    <cellStyle name="Normal 100" xfId="853"/>
    <cellStyle name="Normal 100 2" xfId="854"/>
    <cellStyle name="Normal 100 3" xfId="855"/>
    <cellStyle name="Normal 100 4" xfId="856"/>
    <cellStyle name="Normal 101" xfId="857"/>
    <cellStyle name="Normal 101 2" xfId="858"/>
    <cellStyle name="Normal 101 3" xfId="859"/>
    <cellStyle name="Normal 101 4" xfId="860"/>
    <cellStyle name="Normal 102" xfId="861"/>
    <cellStyle name="Normal 102 2" xfId="862"/>
    <cellStyle name="Normal 102 3" xfId="863"/>
    <cellStyle name="Normal 102 4" xfId="864"/>
    <cellStyle name="Normal 103" xfId="865"/>
    <cellStyle name="Normal 103 2" xfId="866"/>
    <cellStyle name="Normal 103 3" xfId="867"/>
    <cellStyle name="Normal 103 4" xfId="868"/>
    <cellStyle name="Normal 104" xfId="869"/>
    <cellStyle name="Normal 104 2" xfId="870"/>
    <cellStyle name="Normal 104 3" xfId="871"/>
    <cellStyle name="Normal 104 4" xfId="872"/>
    <cellStyle name="Normal 105" xfId="873"/>
    <cellStyle name="Normal 105 2" xfId="874"/>
    <cellStyle name="Normal 105 3" xfId="875"/>
    <cellStyle name="Normal 105 4" xfId="876"/>
    <cellStyle name="Normal 106" xfId="877"/>
    <cellStyle name="Normal 106 2" xfId="878"/>
    <cellStyle name="Normal 106 3" xfId="879"/>
    <cellStyle name="Normal 106 4" xfId="880"/>
    <cellStyle name="Normal 107" xfId="881"/>
    <cellStyle name="Normal 107 2" xfId="882"/>
    <cellStyle name="Normal 107 3" xfId="883"/>
    <cellStyle name="Normal 107 4" xfId="884"/>
    <cellStyle name="Normal 108" xfId="885"/>
    <cellStyle name="Normal 108 2" xfId="886"/>
    <cellStyle name="Normal 108 3" xfId="887"/>
    <cellStyle name="Normal 108 4" xfId="888"/>
    <cellStyle name="Normal 109" xfId="889"/>
    <cellStyle name="Normal 109 2" xfId="890"/>
    <cellStyle name="Normal 109 3" xfId="891"/>
    <cellStyle name="Normal 109 4" xfId="892"/>
    <cellStyle name="Normal 11" xfId="893"/>
    <cellStyle name="Normal 11 2" xfId="894"/>
    <cellStyle name="Normal 11 3" xfId="895"/>
    <cellStyle name="Normal 11 4" xfId="896"/>
    <cellStyle name="Normal 110" xfId="897"/>
    <cellStyle name="Normal 110 2" xfId="898"/>
    <cellStyle name="Normal 110 3" xfId="899"/>
    <cellStyle name="Normal 110 4" xfId="900"/>
    <cellStyle name="Normal 111" xfId="901"/>
    <cellStyle name="Normal 111 2" xfId="902"/>
    <cellStyle name="Normal 111 3" xfId="903"/>
    <cellStyle name="Normal 111 4" xfId="904"/>
    <cellStyle name="Normal 112" xfId="905"/>
    <cellStyle name="Normal 112 2" xfId="906"/>
    <cellStyle name="Normal 112 3" xfId="907"/>
    <cellStyle name="Normal 112 4" xfId="908"/>
    <cellStyle name="Normal 113" xfId="909"/>
    <cellStyle name="Normal 113 2" xfId="910"/>
    <cellStyle name="Normal 113 3" xfId="911"/>
    <cellStyle name="Normal 113 4" xfId="912"/>
    <cellStyle name="Normal 114" xfId="913"/>
    <cellStyle name="Normal 114 2" xfId="914"/>
    <cellStyle name="Normal 114 3" xfId="915"/>
    <cellStyle name="Normal 114 4" xfId="916"/>
    <cellStyle name="Normal 115" xfId="917"/>
    <cellStyle name="Normal 115 2" xfId="918"/>
    <cellStyle name="Normal 115 3" xfId="919"/>
    <cellStyle name="Normal 115 4" xfId="920"/>
    <cellStyle name="Normal 116" xfId="921"/>
    <cellStyle name="Normal 116 2" xfId="922"/>
    <cellStyle name="Normal 116 3" xfId="923"/>
    <cellStyle name="Normal 116 4" xfId="924"/>
    <cellStyle name="Normal 117" xfId="925"/>
    <cellStyle name="Normal 117 2" xfId="926"/>
    <cellStyle name="Normal 117 3" xfId="927"/>
    <cellStyle name="Normal 117 4" xfId="928"/>
    <cellStyle name="Normal 118" xfId="929"/>
    <cellStyle name="Normal 118 2" xfId="930"/>
    <cellStyle name="Normal 118 3" xfId="931"/>
    <cellStyle name="Normal 118 4" xfId="932"/>
    <cellStyle name="Normal 119" xfId="933"/>
    <cellStyle name="Normal 119 2" xfId="934"/>
    <cellStyle name="Normal 119 3" xfId="935"/>
    <cellStyle name="Normal 119 4" xfId="936"/>
    <cellStyle name="Normal 12" xfId="937"/>
    <cellStyle name="Normal 12 2" xfId="938"/>
    <cellStyle name="Normal 12 3" xfId="939"/>
    <cellStyle name="Normal 12 4" xfId="940"/>
    <cellStyle name="Normal 120" xfId="941"/>
    <cellStyle name="Normal 120 2" xfId="942"/>
    <cellStyle name="Normal 120 3" xfId="943"/>
    <cellStyle name="Normal 120 4" xfId="944"/>
    <cellStyle name="Normal 121" xfId="945"/>
    <cellStyle name="Normal 121 2" xfId="946"/>
    <cellStyle name="Normal 121 3" xfId="947"/>
    <cellStyle name="Normal 121 4" xfId="948"/>
    <cellStyle name="Normal 122" xfId="949"/>
    <cellStyle name="Normal 122 2" xfId="950"/>
    <cellStyle name="Normal 122 3" xfId="951"/>
    <cellStyle name="Normal 122 4" xfId="952"/>
    <cellStyle name="Normal 123" xfId="953"/>
    <cellStyle name="Normal 123 2" xfId="954"/>
    <cellStyle name="Normal 123 3" xfId="955"/>
    <cellStyle name="Normal 123 4" xfId="956"/>
    <cellStyle name="Normal 124" xfId="957"/>
    <cellStyle name="Normal 124 2" xfId="958"/>
    <cellStyle name="Normal 124 3" xfId="959"/>
    <cellStyle name="Normal 124 4" xfId="960"/>
    <cellStyle name="Normal 125" xfId="961"/>
    <cellStyle name="Normal 125 2" xfId="962"/>
    <cellStyle name="Normal 125 3" xfId="963"/>
    <cellStyle name="Normal 125 4" xfId="964"/>
    <cellStyle name="Normal 126" xfId="965"/>
    <cellStyle name="Normal 126 2" xfId="966"/>
    <cellStyle name="Normal 126 3" xfId="967"/>
    <cellStyle name="Normal 126 4" xfId="968"/>
    <cellStyle name="Normal 127" xfId="969"/>
    <cellStyle name="Normal 127 2" xfId="970"/>
    <cellStyle name="Normal 127 3" xfId="971"/>
    <cellStyle name="Normal 127 4" xfId="972"/>
    <cellStyle name="Normal 128" xfId="973"/>
    <cellStyle name="Normal 128 2" xfId="974"/>
    <cellStyle name="Normal 128 3" xfId="975"/>
    <cellStyle name="Normal 128 4" xfId="976"/>
    <cellStyle name="Normal 129" xfId="977"/>
    <cellStyle name="Normal 129 2" xfId="978"/>
    <cellStyle name="Normal 129 3" xfId="979"/>
    <cellStyle name="Normal 129 4" xfId="980"/>
    <cellStyle name="Normal 13" xfId="981"/>
    <cellStyle name="Normal 13 2" xfId="982"/>
    <cellStyle name="Normal 13 3" xfId="983"/>
    <cellStyle name="Normal 13 4" xfId="984"/>
    <cellStyle name="Normal 130" xfId="985"/>
    <cellStyle name="Normal 130 2" xfId="986"/>
    <cellStyle name="Normal 130 3" xfId="987"/>
    <cellStyle name="Normal 130 4" xfId="988"/>
    <cellStyle name="Normal 131" xfId="989"/>
    <cellStyle name="Normal 131 2" xfId="990"/>
    <cellStyle name="Normal 131 3" xfId="991"/>
    <cellStyle name="Normal 131 4" xfId="992"/>
    <cellStyle name="Normal 132" xfId="993"/>
    <cellStyle name="Normal 132 2" xfId="994"/>
    <cellStyle name="Normal 132 3" xfId="995"/>
    <cellStyle name="Normal 132 4" xfId="996"/>
    <cellStyle name="Normal 133" xfId="997"/>
    <cellStyle name="Normal 133 2" xfId="998"/>
    <cellStyle name="Normal 133 3" xfId="999"/>
    <cellStyle name="Normal 133 4" xfId="1000"/>
    <cellStyle name="Normal 134" xfId="1001"/>
    <cellStyle name="Normal 134 2" xfId="1002"/>
    <cellStyle name="Normal 134 3" xfId="1003"/>
    <cellStyle name="Normal 134 4" xfId="1004"/>
    <cellStyle name="Normal 135" xfId="1005"/>
    <cellStyle name="Normal 135 2" xfId="1006"/>
    <cellStyle name="Normal 135 3" xfId="1007"/>
    <cellStyle name="Normal 135 4" xfId="1008"/>
    <cellStyle name="Normal 136" xfId="1009"/>
    <cellStyle name="Normal 136 2" xfId="1010"/>
    <cellStyle name="Normal 136 3" xfId="1011"/>
    <cellStyle name="Normal 136 4" xfId="1012"/>
    <cellStyle name="Normal 137" xfId="1013"/>
    <cellStyle name="Normal 137 2" xfId="1014"/>
    <cellStyle name="Normal 137 3" xfId="1015"/>
    <cellStyle name="Normal 137 4" xfId="1016"/>
    <cellStyle name="Normal 138" xfId="1017"/>
    <cellStyle name="Normal 138 2" xfId="1018"/>
    <cellStyle name="Normal 138 3" xfId="1019"/>
    <cellStyle name="Normal 138 4" xfId="1020"/>
    <cellStyle name="Normal 139" xfId="1021"/>
    <cellStyle name="Normal 139 2" xfId="1022"/>
    <cellStyle name="Normal 139 3" xfId="1023"/>
    <cellStyle name="Normal 139 4" xfId="1024"/>
    <cellStyle name="Normal 14" xfId="1025"/>
    <cellStyle name="Normal 14 2" xfId="1026"/>
    <cellStyle name="Normal 14 3" xfId="1027"/>
    <cellStyle name="Normal 14 4" xfId="1028"/>
    <cellStyle name="Normal 140" xfId="1029"/>
    <cellStyle name="Normal 140 2" xfId="1030"/>
    <cellStyle name="Normal 140 3" xfId="1031"/>
    <cellStyle name="Normal 140 4" xfId="1032"/>
    <cellStyle name="Normal 141" xfId="1033"/>
    <cellStyle name="Normal 141 2" xfId="1034"/>
    <cellStyle name="Normal 141 3" xfId="1035"/>
    <cellStyle name="Normal 141 4" xfId="1036"/>
    <cellStyle name="Normal 142" xfId="1037"/>
    <cellStyle name="Normal 142 2" xfId="1038"/>
    <cellStyle name="Normal 142 3" xfId="1039"/>
    <cellStyle name="Normal 142 4" xfId="1040"/>
    <cellStyle name="Normal 143" xfId="1041"/>
    <cellStyle name="Normal 143 10" xfId="1042"/>
    <cellStyle name="Normal 143 10 2" xfId="1043"/>
    <cellStyle name="Normal 143 10 3" xfId="1044"/>
    <cellStyle name="Normal 143 10 4" xfId="1045"/>
    <cellStyle name="Normal 143 11" xfId="1046"/>
    <cellStyle name="Normal 143 11 2" xfId="1047"/>
    <cellStyle name="Normal 143 11 3" xfId="1048"/>
    <cellStyle name="Normal 143 11 4" xfId="1049"/>
    <cellStyle name="Normal 143 12" xfId="1050"/>
    <cellStyle name="Normal 143 12 2" xfId="1051"/>
    <cellStyle name="Normal 143 12 3" xfId="1052"/>
    <cellStyle name="Normal 143 12 4" xfId="1053"/>
    <cellStyle name="Normal 143 13" xfId="1054"/>
    <cellStyle name="Normal 143 13 2" xfId="1055"/>
    <cellStyle name="Normal 143 13 3" xfId="1056"/>
    <cellStyle name="Normal 143 13 4" xfId="1057"/>
    <cellStyle name="Normal 143 14" xfId="1058"/>
    <cellStyle name="Normal 143 14 2" xfId="1059"/>
    <cellStyle name="Normal 143 14 3" xfId="1060"/>
    <cellStyle name="Normal 143 14 4" xfId="1061"/>
    <cellStyle name="Normal 143 15" xfId="1062"/>
    <cellStyle name="Normal 143 15 2" xfId="1063"/>
    <cellStyle name="Normal 143 15 3" xfId="1064"/>
    <cellStyle name="Normal 143 15 4" xfId="1065"/>
    <cellStyle name="Normal 143 16" xfId="1066"/>
    <cellStyle name="Normal 143 16 2" xfId="1067"/>
    <cellStyle name="Normal 143 16 3" xfId="1068"/>
    <cellStyle name="Normal 143 16 4" xfId="1069"/>
    <cellStyle name="Normal 143 17" xfId="1070"/>
    <cellStyle name="Normal 143 17 2" xfId="1071"/>
    <cellStyle name="Normal 143 17 3" xfId="1072"/>
    <cellStyle name="Normal 143 17 4" xfId="1073"/>
    <cellStyle name="Normal 143 18" xfId="1074"/>
    <cellStyle name="Normal 143 18 2" xfId="1075"/>
    <cellStyle name="Normal 143 18 3" xfId="1076"/>
    <cellStyle name="Normal 143 18 4" xfId="1077"/>
    <cellStyle name="Normal 143 19" xfId="1078"/>
    <cellStyle name="Normal 143 19 2" xfId="1079"/>
    <cellStyle name="Normal 143 19 3" xfId="1080"/>
    <cellStyle name="Normal 143 19 4" xfId="1081"/>
    <cellStyle name="Normal 143 2" xfId="1082"/>
    <cellStyle name="Normal 143 2 2" xfId="1083"/>
    <cellStyle name="Normal 143 2 3" xfId="1084"/>
    <cellStyle name="Normal 143 2 4" xfId="1085"/>
    <cellStyle name="Normal 143 20" xfId="1086"/>
    <cellStyle name="Normal 143 20 2" xfId="1087"/>
    <cellStyle name="Normal 143 20 3" xfId="1088"/>
    <cellStyle name="Normal 143 20 4" xfId="1089"/>
    <cellStyle name="Normal 143 21" xfId="1090"/>
    <cellStyle name="Normal 143 21 2" xfId="1091"/>
    <cellStyle name="Normal 143 21 3" xfId="1092"/>
    <cellStyle name="Normal 143 21 4" xfId="1093"/>
    <cellStyle name="Normal 143 22" xfId="1094"/>
    <cellStyle name="Normal 143 22 2" xfId="1095"/>
    <cellStyle name="Normal 143 22 3" xfId="1096"/>
    <cellStyle name="Normal 143 22 4" xfId="1097"/>
    <cellStyle name="Normal 143 23" xfId="1098"/>
    <cellStyle name="Normal 143 23 2" xfId="1099"/>
    <cellStyle name="Normal 143 23 3" xfId="1100"/>
    <cellStyle name="Normal 143 23 4" xfId="1101"/>
    <cellStyle name="Normal 143 24" xfId="1102"/>
    <cellStyle name="Normal 143 24 2" xfId="1103"/>
    <cellStyle name="Normal 143 24 3" xfId="1104"/>
    <cellStyle name="Normal 143 24 4" xfId="1105"/>
    <cellStyle name="Normal 143 25" xfId="1106"/>
    <cellStyle name="Normal 143 25 2" xfId="1107"/>
    <cellStyle name="Normal 143 25 3" xfId="1108"/>
    <cellStyle name="Normal 143 25 4" xfId="1109"/>
    <cellStyle name="Normal 143 26" xfId="1110"/>
    <cellStyle name="Normal 143 26 2" xfId="1111"/>
    <cellStyle name="Normal 143 26 3" xfId="1112"/>
    <cellStyle name="Normal 143 26 4" xfId="1113"/>
    <cellStyle name="Normal 143 27" xfId="1114"/>
    <cellStyle name="Normal 143 27 2" xfId="1115"/>
    <cellStyle name="Normal 143 27 3" xfId="1116"/>
    <cellStyle name="Normal 143 27 4" xfId="1117"/>
    <cellStyle name="Normal 143 28" xfId="1118"/>
    <cellStyle name="Normal 143 28 2" xfId="1119"/>
    <cellStyle name="Normal 143 28 3" xfId="1120"/>
    <cellStyle name="Normal 143 28 4" xfId="1121"/>
    <cellStyle name="Normal 143 29" xfId="1122"/>
    <cellStyle name="Normal 143 29 2" xfId="1123"/>
    <cellStyle name="Normal 143 29 3" xfId="1124"/>
    <cellStyle name="Normal 143 29 4" xfId="1125"/>
    <cellStyle name="Normal 143 3" xfId="1126"/>
    <cellStyle name="Normal 143 3 2" xfId="1127"/>
    <cellStyle name="Normal 143 3 3" xfId="1128"/>
    <cellStyle name="Normal 143 3 4" xfId="1129"/>
    <cellStyle name="Normal 143 30" xfId="1130"/>
    <cellStyle name="Normal 143 30 2" xfId="1131"/>
    <cellStyle name="Normal 143 30 3" xfId="1132"/>
    <cellStyle name="Normal 143 30 4" xfId="1133"/>
    <cellStyle name="Normal 143 31" xfId="1134"/>
    <cellStyle name="Normal 143 31 2" xfId="1135"/>
    <cellStyle name="Normal 143 31 3" xfId="1136"/>
    <cellStyle name="Normal 143 31 4" xfId="1137"/>
    <cellStyle name="Normal 143 32" xfId="1138"/>
    <cellStyle name="Normal 143 32 2" xfId="1139"/>
    <cellStyle name="Normal 143 32 3" xfId="1140"/>
    <cellStyle name="Normal 143 32 4" xfId="1141"/>
    <cellStyle name="Normal 143 33" xfId="1142"/>
    <cellStyle name="Normal 143 33 2" xfId="1143"/>
    <cellStyle name="Normal 143 33 3" xfId="1144"/>
    <cellStyle name="Normal 143 33 4" xfId="1145"/>
    <cellStyle name="Normal 143 34" xfId="1146"/>
    <cellStyle name="Normal 143 34 2" xfId="1147"/>
    <cellStyle name="Normal 143 34 3" xfId="1148"/>
    <cellStyle name="Normal 143 34 4" xfId="1149"/>
    <cellStyle name="Normal 143 35" xfId="1150"/>
    <cellStyle name="Normal 143 35 2" xfId="1151"/>
    <cellStyle name="Normal 143 35 3" xfId="1152"/>
    <cellStyle name="Normal 143 35 4" xfId="1153"/>
    <cellStyle name="Normal 143 36" xfId="1154"/>
    <cellStyle name="Normal 143 36 2" xfId="1155"/>
    <cellStyle name="Normal 143 36 3" xfId="1156"/>
    <cellStyle name="Normal 143 36 4" xfId="1157"/>
    <cellStyle name="Normal 143 37" xfId="1158"/>
    <cellStyle name="Normal 143 37 2" xfId="1159"/>
    <cellStyle name="Normal 143 37 3" xfId="1160"/>
    <cellStyle name="Normal 143 37 4" xfId="1161"/>
    <cellStyle name="Normal 143 38" xfId="1162"/>
    <cellStyle name="Normal 143 38 2" xfId="1163"/>
    <cellStyle name="Normal 143 38 3" xfId="1164"/>
    <cellStyle name="Normal 143 38 4" xfId="1165"/>
    <cellStyle name="Normal 143 39" xfId="1166"/>
    <cellStyle name="Normal 143 39 2" xfId="1167"/>
    <cellStyle name="Normal 143 39 3" xfId="1168"/>
    <cellStyle name="Normal 143 39 4" xfId="1169"/>
    <cellStyle name="Normal 143 4" xfId="1170"/>
    <cellStyle name="Normal 143 4 2" xfId="1171"/>
    <cellStyle name="Normal 143 4 3" xfId="1172"/>
    <cellStyle name="Normal 143 4 4" xfId="1173"/>
    <cellStyle name="Normal 143 40" xfId="1174"/>
    <cellStyle name="Normal 143 40 2" xfId="1175"/>
    <cellStyle name="Normal 143 40 3" xfId="1176"/>
    <cellStyle name="Normal 143 40 4" xfId="1177"/>
    <cellStyle name="Normal 143 41" xfId="1178"/>
    <cellStyle name="Normal 143 41 2" xfId="1179"/>
    <cellStyle name="Normal 143 41 3" xfId="1180"/>
    <cellStyle name="Normal 143 41 4" xfId="1181"/>
    <cellStyle name="Normal 143 42" xfId="1182"/>
    <cellStyle name="Normal 143 42 2" xfId="1183"/>
    <cellStyle name="Normal 143 42 3" xfId="1184"/>
    <cellStyle name="Normal 143 42 4" xfId="1185"/>
    <cellStyle name="Normal 143 43" xfId="1186"/>
    <cellStyle name="Normal 143 43 2" xfId="1187"/>
    <cellStyle name="Normal 143 43 3" xfId="1188"/>
    <cellStyle name="Normal 143 43 4" xfId="1189"/>
    <cellStyle name="Normal 143 44" xfId="1190"/>
    <cellStyle name="Normal 143 44 2" xfId="1191"/>
    <cellStyle name="Normal 143 44 3" xfId="1192"/>
    <cellStyle name="Normal 143 44 4" xfId="1193"/>
    <cellStyle name="Normal 143 45" xfId="1194"/>
    <cellStyle name="Normal 143 45 2" xfId="1195"/>
    <cellStyle name="Normal 143 45 3" xfId="1196"/>
    <cellStyle name="Normal 143 45 4" xfId="1197"/>
    <cellStyle name="Normal 143 46" xfId="1198"/>
    <cellStyle name="Normal 143 46 2" xfId="1199"/>
    <cellStyle name="Normal 143 46 3" xfId="1200"/>
    <cellStyle name="Normal 143 46 4" xfId="1201"/>
    <cellStyle name="Normal 143 47" xfId="1202"/>
    <cellStyle name="Normal 143 47 2" xfId="1203"/>
    <cellStyle name="Normal 143 47 3" xfId="1204"/>
    <cellStyle name="Normal 143 47 4" xfId="1205"/>
    <cellStyle name="Normal 143 48" xfId="1206"/>
    <cellStyle name="Normal 143 48 2" xfId="1207"/>
    <cellStyle name="Normal 143 48 3" xfId="1208"/>
    <cellStyle name="Normal 143 48 4" xfId="1209"/>
    <cellStyle name="Normal 143 49" xfId="1210"/>
    <cellStyle name="Normal 143 49 2" xfId="1211"/>
    <cellStyle name="Normal 143 49 3" xfId="1212"/>
    <cellStyle name="Normal 143 49 4" xfId="1213"/>
    <cellStyle name="Normal 143 5" xfId="1214"/>
    <cellStyle name="Normal 143 5 2" xfId="1215"/>
    <cellStyle name="Normal 143 5 3" xfId="1216"/>
    <cellStyle name="Normal 143 5 4" xfId="1217"/>
    <cellStyle name="Normal 143 50" xfId="1218"/>
    <cellStyle name="Normal 143 50 2" xfId="1219"/>
    <cellStyle name="Normal 143 50 3" xfId="1220"/>
    <cellStyle name="Normal 143 50 4" xfId="1221"/>
    <cellStyle name="Normal 143 51" xfId="1222"/>
    <cellStyle name="Normal 143 51 2" xfId="1223"/>
    <cellStyle name="Normal 143 51 3" xfId="1224"/>
    <cellStyle name="Normal 143 51 4" xfId="1225"/>
    <cellStyle name="Normal 143 52" xfId="1226"/>
    <cellStyle name="Normal 143 52 2" xfId="1227"/>
    <cellStyle name="Normal 143 52 3" xfId="1228"/>
    <cellStyle name="Normal 143 52 4" xfId="1229"/>
    <cellStyle name="Normal 143 53" xfId="1230"/>
    <cellStyle name="Normal 143 53 2" xfId="1231"/>
    <cellStyle name="Normal 143 53 3" xfId="1232"/>
    <cellStyle name="Normal 143 53 4" xfId="1233"/>
    <cellStyle name="Normal 143 54" xfId="1234"/>
    <cellStyle name="Normal 143 54 2" xfId="1235"/>
    <cellStyle name="Normal 143 54 3" xfId="1236"/>
    <cellStyle name="Normal 143 54 4" xfId="1237"/>
    <cellStyle name="Normal 143 55" xfId="1238"/>
    <cellStyle name="Normal 143 55 2" xfId="1239"/>
    <cellStyle name="Normal 143 55 3" xfId="1240"/>
    <cellStyle name="Normal 143 55 4" xfId="1241"/>
    <cellStyle name="Normal 143 56" xfId="1242"/>
    <cellStyle name="Normal 143 56 2" xfId="1243"/>
    <cellStyle name="Normal 143 56 3" xfId="1244"/>
    <cellStyle name="Normal 143 56 4" xfId="1245"/>
    <cellStyle name="Normal 143 57" xfId="1246"/>
    <cellStyle name="Normal 143 57 2" xfId="1247"/>
    <cellStyle name="Normal 143 57 3" xfId="1248"/>
    <cellStyle name="Normal 143 57 4" xfId="1249"/>
    <cellStyle name="Normal 143 58" xfId="1250"/>
    <cellStyle name="Normal 143 58 2" xfId="1251"/>
    <cellStyle name="Normal 143 58 3" xfId="1252"/>
    <cellStyle name="Normal 143 58 4" xfId="1253"/>
    <cellStyle name="Normal 143 59" xfId="1254"/>
    <cellStyle name="Normal 143 59 2" xfId="1255"/>
    <cellStyle name="Normal 143 59 3" xfId="1256"/>
    <cellStyle name="Normal 143 59 4" xfId="1257"/>
    <cellStyle name="Normal 143 6" xfId="1258"/>
    <cellStyle name="Normal 143 6 2" xfId="1259"/>
    <cellStyle name="Normal 143 6 3" xfId="1260"/>
    <cellStyle name="Normal 143 6 4" xfId="1261"/>
    <cellStyle name="Normal 143 60" xfId="1262"/>
    <cellStyle name="Normal 143 60 2" xfId="1263"/>
    <cellStyle name="Normal 143 60 3" xfId="1264"/>
    <cellStyle name="Normal 143 60 4" xfId="1265"/>
    <cellStyle name="Normal 143 61" xfId="1266"/>
    <cellStyle name="Normal 143 62" xfId="1267"/>
    <cellStyle name="Normal 143 63" xfId="1268"/>
    <cellStyle name="Normal 143 7" xfId="1269"/>
    <cellStyle name="Normal 143 7 2" xfId="1270"/>
    <cellStyle name="Normal 143 7 3" xfId="1271"/>
    <cellStyle name="Normal 143 7 4" xfId="1272"/>
    <cellStyle name="Normal 143 8" xfId="1273"/>
    <cellStyle name="Normal 143 8 2" xfId="1274"/>
    <cellStyle name="Normal 143 8 3" xfId="1275"/>
    <cellStyle name="Normal 143 8 4" xfId="1276"/>
    <cellStyle name="Normal 143 9" xfId="1277"/>
    <cellStyle name="Normal 143 9 2" xfId="1278"/>
    <cellStyle name="Normal 143 9 3" xfId="1279"/>
    <cellStyle name="Normal 143 9 4" xfId="1280"/>
    <cellStyle name="Normal 144" xfId="1281"/>
    <cellStyle name="Normal 144 2" xfId="1282"/>
    <cellStyle name="Normal 144 3" xfId="1283"/>
    <cellStyle name="Normal 144 4" xfId="1284"/>
    <cellStyle name="Normal 145" xfId="1285"/>
    <cellStyle name="Normal 145 2" xfId="1286"/>
    <cellStyle name="Normal 145 3" xfId="1287"/>
    <cellStyle name="Normal 145 4" xfId="1288"/>
    <cellStyle name="Normal 146" xfId="1289"/>
    <cellStyle name="Normal 146 2" xfId="1290"/>
    <cellStyle name="Normal 146 3" xfId="1291"/>
    <cellStyle name="Normal 146 4" xfId="1292"/>
    <cellStyle name="Normal 147" xfId="1293"/>
    <cellStyle name="Normal 147 2" xfId="1294"/>
    <cellStyle name="Normal 147 3" xfId="1295"/>
    <cellStyle name="Normal 147 4" xfId="1296"/>
    <cellStyle name="Normal 148" xfId="1297"/>
    <cellStyle name="Normal 148 2" xfId="1298"/>
    <cellStyle name="Normal 148 3" xfId="1299"/>
    <cellStyle name="Normal 148 4" xfId="1300"/>
    <cellStyle name="Normal 149" xfId="1301"/>
    <cellStyle name="Normal 149 2" xfId="1302"/>
    <cellStyle name="Normal 149 3" xfId="1303"/>
    <cellStyle name="Normal 149 4" xfId="1304"/>
    <cellStyle name="Normal 15" xfId="1305"/>
    <cellStyle name="Normal 15 2" xfId="1306"/>
    <cellStyle name="Normal 15 3" xfId="1307"/>
    <cellStyle name="Normal 15 4" xfId="1308"/>
    <cellStyle name="Normal 150" xfId="1309"/>
    <cellStyle name="Normal 150 2" xfId="1310"/>
    <cellStyle name="Normal 150 3" xfId="1311"/>
    <cellStyle name="Normal 150 4" xfId="1312"/>
    <cellStyle name="Normal 151" xfId="1313"/>
    <cellStyle name="Normal 151 2" xfId="1314"/>
    <cellStyle name="Normal 151 3" xfId="1315"/>
    <cellStyle name="Normal 151 4" xfId="1316"/>
    <cellStyle name="Normal 152" xfId="1317"/>
    <cellStyle name="Normal 152 2" xfId="1318"/>
    <cellStyle name="Normal 152 3" xfId="1319"/>
    <cellStyle name="Normal 152 4" xfId="1320"/>
    <cellStyle name="Normal 153" xfId="1321"/>
    <cellStyle name="Normal 153 2" xfId="1322"/>
    <cellStyle name="Normal 153 3" xfId="1323"/>
    <cellStyle name="Normal 153 4" xfId="1324"/>
    <cellStyle name="Normal 154" xfId="1325"/>
    <cellStyle name="Normal 154 2" xfId="1326"/>
    <cellStyle name="Normal 154 3" xfId="1327"/>
    <cellStyle name="Normal 154 4" xfId="1328"/>
    <cellStyle name="Normal 155" xfId="1329"/>
    <cellStyle name="Normal 155 2" xfId="1330"/>
    <cellStyle name="Normal 155 3" xfId="1331"/>
    <cellStyle name="Normal 155 4" xfId="1332"/>
    <cellStyle name="Normal 156" xfId="1333"/>
    <cellStyle name="Normal 156 2" xfId="1334"/>
    <cellStyle name="Normal 156 3" xfId="1335"/>
    <cellStyle name="Normal 156 4" xfId="1336"/>
    <cellStyle name="Normal 157" xfId="1337"/>
    <cellStyle name="Normal 157 2" xfId="1338"/>
    <cellStyle name="Normal 157 3" xfId="1339"/>
    <cellStyle name="Normal 157 4" xfId="1340"/>
    <cellStyle name="Normal 158" xfId="1341"/>
    <cellStyle name="Normal 158 2" xfId="1342"/>
    <cellStyle name="Normal 158 3" xfId="1343"/>
    <cellStyle name="Normal 158 4" xfId="1344"/>
    <cellStyle name="Normal 159" xfId="1345"/>
    <cellStyle name="Normal 159 2" xfId="1346"/>
    <cellStyle name="Normal 159 3" xfId="1347"/>
    <cellStyle name="Normal 159 4" xfId="1348"/>
    <cellStyle name="Normal 16" xfId="1349"/>
    <cellStyle name="Normal 16 2" xfId="1350"/>
    <cellStyle name="Normal 16 3" xfId="1351"/>
    <cellStyle name="Normal 16 4" xfId="1352"/>
    <cellStyle name="Normal 160" xfId="1353"/>
    <cellStyle name="Normal 160 2" xfId="1354"/>
    <cellStyle name="Normal 160 3" xfId="1355"/>
    <cellStyle name="Normal 160 4" xfId="1356"/>
    <cellStyle name="Normal 161" xfId="1357"/>
    <cellStyle name="Normal 161 2" xfId="1358"/>
    <cellStyle name="Normal 161 3" xfId="1359"/>
    <cellStyle name="Normal 161 4" xfId="1360"/>
    <cellStyle name="Normal 162" xfId="1361"/>
    <cellStyle name="Normal 162 2" xfId="1362"/>
    <cellStyle name="Normal 162 3" xfId="1363"/>
    <cellStyle name="Normal 162 4" xfId="1364"/>
    <cellStyle name="Normal 163" xfId="1365"/>
    <cellStyle name="Normal 163 2" xfId="1366"/>
    <cellStyle name="Normal 163 3" xfId="1367"/>
    <cellStyle name="Normal 163 4" xfId="1368"/>
    <cellStyle name="Normal 164" xfId="1369"/>
    <cellStyle name="Normal 164 2" xfId="1370"/>
    <cellStyle name="Normal 164 3" xfId="1371"/>
    <cellStyle name="Normal 164 4" xfId="1372"/>
    <cellStyle name="Normal 165" xfId="1373"/>
    <cellStyle name="Normal 165 2" xfId="1374"/>
    <cellStyle name="Normal 165 3" xfId="1375"/>
    <cellStyle name="Normal 165 4" xfId="1376"/>
    <cellStyle name="Normal 166" xfId="1377"/>
    <cellStyle name="Normal 166 2" xfId="1378"/>
    <cellStyle name="Normal 166 3" xfId="1379"/>
    <cellStyle name="Normal 166 4" xfId="1380"/>
    <cellStyle name="Normal 167" xfId="1381"/>
    <cellStyle name="Normal 167 2" xfId="1382"/>
    <cellStyle name="Normal 167 3" xfId="1383"/>
    <cellStyle name="Normal 167 4" xfId="1384"/>
    <cellStyle name="Normal 168" xfId="1385"/>
    <cellStyle name="Normal 168 2" xfId="1386"/>
    <cellStyle name="Normal 168 3" xfId="1387"/>
    <cellStyle name="Normal 168 4" xfId="1388"/>
    <cellStyle name="Normal 169" xfId="1389"/>
    <cellStyle name="Normal 169 2" xfId="1390"/>
    <cellStyle name="Normal 169 3" xfId="1391"/>
    <cellStyle name="Normal 169 4" xfId="1392"/>
    <cellStyle name="Normal 17" xfId="1393"/>
    <cellStyle name="Normal 17 2" xfId="1394"/>
    <cellStyle name="Normal 17 3" xfId="1395"/>
    <cellStyle name="Normal 17 4" xfId="1396"/>
    <cellStyle name="Normal 170" xfId="1397"/>
    <cellStyle name="Normal 170 2" xfId="1398"/>
    <cellStyle name="Normal 170 3" xfId="1399"/>
    <cellStyle name="Normal 170 4" xfId="1400"/>
    <cellStyle name="Normal 171" xfId="1401"/>
    <cellStyle name="Normal 171 2" xfId="1402"/>
    <cellStyle name="Normal 171 3" xfId="1403"/>
    <cellStyle name="Normal 171 4" xfId="1404"/>
    <cellStyle name="Normal 172" xfId="1405"/>
    <cellStyle name="Normal 172 2" xfId="1406"/>
    <cellStyle name="Normal 172 3" xfId="1407"/>
    <cellStyle name="Normal 172 4" xfId="1408"/>
    <cellStyle name="Normal 173" xfId="1409"/>
    <cellStyle name="Normal 173 2" xfId="1410"/>
    <cellStyle name="Normal 173 3" xfId="1411"/>
    <cellStyle name="Normal 173 4" xfId="1412"/>
    <cellStyle name="Normal 174" xfId="1413"/>
    <cellStyle name="Normal 174 2" xfId="1414"/>
    <cellStyle name="Normal 174 3" xfId="1415"/>
    <cellStyle name="Normal 174 4" xfId="1416"/>
    <cellStyle name="Normal 175" xfId="1417"/>
    <cellStyle name="Normal 175 2" xfId="1418"/>
    <cellStyle name="Normal 175 3" xfId="1419"/>
    <cellStyle name="Normal 175 4" xfId="1420"/>
    <cellStyle name="Normal 176" xfId="1421"/>
    <cellStyle name="Normal 176 2" xfId="1422"/>
    <cellStyle name="Normal 176 3" xfId="1423"/>
    <cellStyle name="Normal 176 4" xfId="1424"/>
    <cellStyle name="Normal 177" xfId="1425"/>
    <cellStyle name="Normal 177 2" xfId="1426"/>
    <cellStyle name="Normal 177 3" xfId="1427"/>
    <cellStyle name="Normal 177 4" xfId="1428"/>
    <cellStyle name="Normal 178" xfId="1429"/>
    <cellStyle name="Normal 178 2" xfId="1430"/>
    <cellStyle name="Normal 178 3" xfId="1431"/>
    <cellStyle name="Normal 178 4" xfId="1432"/>
    <cellStyle name="Normal 179" xfId="1433"/>
    <cellStyle name="Normal 179 2" xfId="1434"/>
    <cellStyle name="Normal 179 3" xfId="1435"/>
    <cellStyle name="Normal 179 4" xfId="1436"/>
    <cellStyle name="Normal 18" xfId="1437"/>
    <cellStyle name="Normal 18 2" xfId="1438"/>
    <cellStyle name="Normal 18 3" xfId="1439"/>
    <cellStyle name="Normal 18 4" xfId="1440"/>
    <cellStyle name="Normal 180" xfId="1441"/>
    <cellStyle name="Normal 180 2" xfId="1442"/>
    <cellStyle name="Normal 180 3" xfId="1443"/>
    <cellStyle name="Normal 180 4" xfId="1444"/>
    <cellStyle name="Normal 181" xfId="1445"/>
    <cellStyle name="Normal 181 2" xfId="1446"/>
    <cellStyle name="Normal 181 2 2" xfId="1447"/>
    <cellStyle name="Normal 181 2 3" xfId="1448"/>
    <cellStyle name="Normal 181 2 4" xfId="1449"/>
    <cellStyle name="Normal 181 3" xfId="1450"/>
    <cellStyle name="Normal 181 4" xfId="1451"/>
    <cellStyle name="Normal 181 5" xfId="1452"/>
    <cellStyle name="Normal 182" xfId="1453"/>
    <cellStyle name="Normal 182 10" xfId="1454"/>
    <cellStyle name="Normal 182 11" xfId="1455"/>
    <cellStyle name="Normal 182 12" xfId="1456"/>
    <cellStyle name="Normal 182 2" xfId="1457"/>
    <cellStyle name="Normal 182 2 2" xfId="1458"/>
    <cellStyle name="Normal 182 2 3" xfId="1459"/>
    <cellStyle name="Normal 182 2 4" xfId="1460"/>
    <cellStyle name="Normal 182 3" xfId="1461"/>
    <cellStyle name="Normal 182 3 2" xfId="1462"/>
    <cellStyle name="Normal 182 3 3" xfId="1463"/>
    <cellStyle name="Normal 182 3 4" xfId="1464"/>
    <cellStyle name="Normal 182 4" xfId="1465"/>
    <cellStyle name="Normal 182 4 2" xfId="1466"/>
    <cellStyle name="Normal 182 4 3" xfId="1467"/>
    <cellStyle name="Normal 182 4 4" xfId="1468"/>
    <cellStyle name="Normal 182 5" xfId="1469"/>
    <cellStyle name="Normal 182 5 2" xfId="1470"/>
    <cellStyle name="Normal 182 5 3" xfId="1471"/>
    <cellStyle name="Normal 182 5 4" xfId="1472"/>
    <cellStyle name="Normal 182 6" xfId="1473"/>
    <cellStyle name="Normal 182 6 2" xfId="1474"/>
    <cellStyle name="Normal 182 6 3" xfId="1475"/>
    <cellStyle name="Normal 182 6 4" xfId="1476"/>
    <cellStyle name="Normal 182 7" xfId="1477"/>
    <cellStyle name="Normal 182 7 2" xfId="1478"/>
    <cellStyle name="Normal 182 7 3" xfId="1479"/>
    <cellStyle name="Normal 182 7 4" xfId="1480"/>
    <cellStyle name="Normal 182 8" xfId="1481"/>
    <cellStyle name="Normal 182 8 2" xfId="1482"/>
    <cellStyle name="Normal 182 8 3" xfId="1483"/>
    <cellStyle name="Normal 182 8 4" xfId="1484"/>
    <cellStyle name="Normal 182 9" xfId="1485"/>
    <cellStyle name="Normal 182 9 2" xfId="1486"/>
    <cellStyle name="Normal 182 9 3" xfId="1487"/>
    <cellStyle name="Normal 182 9 4" xfId="1488"/>
    <cellStyle name="Normal 183" xfId="1489"/>
    <cellStyle name="Normal 183 2" xfId="1490"/>
    <cellStyle name="Normal 183 2 2" xfId="1491"/>
    <cellStyle name="Normal 183 2 3" xfId="1492"/>
    <cellStyle name="Normal 183 2 4" xfId="1493"/>
    <cellStyle name="Normal 183 3" xfId="1494"/>
    <cellStyle name="Normal 183 3 2" xfId="1495"/>
    <cellStyle name="Normal 183 3 3" xfId="1496"/>
    <cellStyle name="Normal 183 3 4" xfId="1497"/>
    <cellStyle name="Normal 183 4" xfId="1498"/>
    <cellStyle name="Normal 183 4 2" xfId="1499"/>
    <cellStyle name="Normal 183 4 3" xfId="1500"/>
    <cellStyle name="Normal 183 4 4" xfId="1501"/>
    <cellStyle name="Normal 183 5" xfId="1502"/>
    <cellStyle name="Normal 183 6" xfId="1503"/>
    <cellStyle name="Normal 183 7" xfId="1504"/>
    <cellStyle name="Normal 184" xfId="1505"/>
    <cellStyle name="Normal 184 2" xfId="1506"/>
    <cellStyle name="Normal 184 2 2" xfId="1507"/>
    <cellStyle name="Normal 184 2 3" xfId="1508"/>
    <cellStyle name="Normal 184 2 4" xfId="1509"/>
    <cellStyle name="Normal 184 3" xfId="1510"/>
    <cellStyle name="Normal 184 4" xfId="1511"/>
    <cellStyle name="Normal 184 5" xfId="1512"/>
    <cellStyle name="Normal 185" xfId="1513"/>
    <cellStyle name="Normal 185 2" xfId="1514"/>
    <cellStyle name="Normal 185 2 2" xfId="1515"/>
    <cellStyle name="Normal 185 2 3" xfId="1516"/>
    <cellStyle name="Normal 185 2 4" xfId="1517"/>
    <cellStyle name="Normal 185 3" xfId="1518"/>
    <cellStyle name="Normal 185 3 2" xfId="1519"/>
    <cellStyle name="Normal 185 3 3" xfId="1520"/>
    <cellStyle name="Normal 185 3 4" xfId="1521"/>
    <cellStyle name="Normal 185 4" xfId="1522"/>
    <cellStyle name="Normal 185 5" xfId="1523"/>
    <cellStyle name="Normal 185 6" xfId="1524"/>
    <cellStyle name="Normal 186" xfId="1525"/>
    <cellStyle name="Normal 186 10" xfId="1526"/>
    <cellStyle name="Normal 186 2" xfId="1527"/>
    <cellStyle name="Normal 186 2 2" xfId="1528"/>
    <cellStyle name="Normal 186 2 3" xfId="1529"/>
    <cellStyle name="Normal 186 2 4" xfId="1530"/>
    <cellStyle name="Normal 186 3" xfId="1531"/>
    <cellStyle name="Normal 186 3 2" xfId="1532"/>
    <cellStyle name="Normal 186 3 3" xfId="1533"/>
    <cellStyle name="Normal 186 3 4" xfId="1534"/>
    <cellStyle name="Normal 186 4" xfId="1535"/>
    <cellStyle name="Normal 186 4 2" xfId="1536"/>
    <cellStyle name="Normal 186 4 3" xfId="1537"/>
    <cellStyle name="Normal 186 4 4" xfId="1538"/>
    <cellStyle name="Normal 186 5" xfId="1539"/>
    <cellStyle name="Normal 186 5 2" xfId="1540"/>
    <cellStyle name="Normal 186 5 3" xfId="1541"/>
    <cellStyle name="Normal 186 5 4" xfId="1542"/>
    <cellStyle name="Normal 186 6" xfId="1543"/>
    <cellStyle name="Normal 186 6 2" xfId="1544"/>
    <cellStyle name="Normal 186 6 3" xfId="1545"/>
    <cellStyle name="Normal 186 6 4" xfId="1546"/>
    <cellStyle name="Normal 186 7" xfId="1547"/>
    <cellStyle name="Normal 186 7 2" xfId="1548"/>
    <cellStyle name="Normal 186 7 3" xfId="1549"/>
    <cellStyle name="Normal 186 7 4" xfId="1550"/>
    <cellStyle name="Normal 186 8" xfId="1551"/>
    <cellStyle name="Normal 186 9" xfId="1552"/>
    <cellStyle name="Normal 187" xfId="1553"/>
    <cellStyle name="Normal 187 2" xfId="1554"/>
    <cellStyle name="Normal 187 2 2" xfId="1555"/>
    <cellStyle name="Normal 187 2 3" xfId="1556"/>
    <cellStyle name="Normal 187 2 4" xfId="1557"/>
    <cellStyle name="Normal 187 3" xfId="1558"/>
    <cellStyle name="Normal 187 3 2" xfId="1559"/>
    <cellStyle name="Normal 187 3 3" xfId="1560"/>
    <cellStyle name="Normal 187 3 4" xfId="1561"/>
    <cellStyle name="Normal 187 4" xfId="1562"/>
    <cellStyle name="Normal 187 5" xfId="1563"/>
    <cellStyle name="Normal 187 6" xfId="1564"/>
    <cellStyle name="Normal 188" xfId="1565"/>
    <cellStyle name="Normal 188 2" xfId="1566"/>
    <cellStyle name="Normal 188 2 2" xfId="1567"/>
    <cellStyle name="Normal 188 2 3" xfId="1568"/>
    <cellStyle name="Normal 188 2 4" xfId="1569"/>
    <cellStyle name="Normal 188 3" xfId="1570"/>
    <cellStyle name="Normal 188 3 2" xfId="1571"/>
    <cellStyle name="Normal 188 3 3" xfId="1572"/>
    <cellStyle name="Normal 188 3 4" xfId="1573"/>
    <cellStyle name="Normal 188 4" xfId="1574"/>
    <cellStyle name="Normal 188 4 2" xfId="1575"/>
    <cellStyle name="Normal 188 4 3" xfId="1576"/>
    <cellStyle name="Normal 188 4 4" xfId="1577"/>
    <cellStyle name="Normal 188 5" xfId="1578"/>
    <cellStyle name="Normal 188 6" xfId="1579"/>
    <cellStyle name="Normal 188 7" xfId="1580"/>
    <cellStyle name="Normal 189" xfId="1581"/>
    <cellStyle name="Normal 189 2" xfId="1582"/>
    <cellStyle name="Normal 189 2 2" xfId="1583"/>
    <cellStyle name="Normal 189 2 3" xfId="1584"/>
    <cellStyle name="Normal 189 2 4" xfId="1585"/>
    <cellStyle name="Normal 189 3" xfId="1586"/>
    <cellStyle name="Normal 189 3 2" xfId="1587"/>
    <cellStyle name="Normal 189 3 3" xfId="1588"/>
    <cellStyle name="Normal 189 3 4" xfId="1589"/>
    <cellStyle name="Normal 189 4" xfId="1590"/>
    <cellStyle name="Normal 189 5" xfId="1591"/>
    <cellStyle name="Normal 189 6" xfId="1592"/>
    <cellStyle name="Normal 19" xfId="1593"/>
    <cellStyle name="Normal 19 2" xfId="1594"/>
    <cellStyle name="Normal 19 3" xfId="1595"/>
    <cellStyle name="Normal 19 4" xfId="1596"/>
    <cellStyle name="Normal 190" xfId="1597"/>
    <cellStyle name="Normal 190 10" xfId="1598"/>
    <cellStyle name="Normal 190 10 2" xfId="1599"/>
    <cellStyle name="Normal 190 10 3" xfId="1600"/>
    <cellStyle name="Normal 190 10 4" xfId="1601"/>
    <cellStyle name="Normal 190 11" xfId="1602"/>
    <cellStyle name="Normal 190 11 2" xfId="1603"/>
    <cellStyle name="Normal 190 11 3" xfId="1604"/>
    <cellStyle name="Normal 190 11 4" xfId="1605"/>
    <cellStyle name="Normal 190 12" xfId="1606"/>
    <cellStyle name="Normal 190 12 2" xfId="1607"/>
    <cellStyle name="Normal 190 12 3" xfId="1608"/>
    <cellStyle name="Normal 190 12 4" xfId="1609"/>
    <cellStyle name="Normal 190 13" xfId="1610"/>
    <cellStyle name="Normal 190 13 2" xfId="1611"/>
    <cellStyle name="Normal 190 13 3" xfId="1612"/>
    <cellStyle name="Normal 190 13 4" xfId="1613"/>
    <cellStyle name="Normal 190 14" xfId="1614"/>
    <cellStyle name="Normal 190 14 2" xfId="1615"/>
    <cellStyle name="Normal 190 14 3" xfId="1616"/>
    <cellStyle name="Normal 190 14 4" xfId="1617"/>
    <cellStyle name="Normal 190 15" xfId="1618"/>
    <cellStyle name="Normal 190 15 2" xfId="1619"/>
    <cellStyle name="Normal 190 15 3" xfId="1620"/>
    <cellStyle name="Normal 190 15 4" xfId="1621"/>
    <cellStyle name="Normal 190 16" xfId="1622"/>
    <cellStyle name="Normal 190 16 2" xfId="1623"/>
    <cellStyle name="Normal 190 16 3" xfId="1624"/>
    <cellStyle name="Normal 190 16 4" xfId="1625"/>
    <cellStyle name="Normal 190 17" xfId="1626"/>
    <cellStyle name="Normal 190 17 2" xfId="1627"/>
    <cellStyle name="Normal 190 17 3" xfId="1628"/>
    <cellStyle name="Normal 190 17 4" xfId="1629"/>
    <cellStyle name="Normal 190 18" xfId="1630"/>
    <cellStyle name="Normal 190 18 2" xfId="1631"/>
    <cellStyle name="Normal 190 18 3" xfId="1632"/>
    <cellStyle name="Normal 190 18 4" xfId="1633"/>
    <cellStyle name="Normal 190 19" xfId="1634"/>
    <cellStyle name="Normal 190 19 2" xfId="1635"/>
    <cellStyle name="Normal 190 19 3" xfId="1636"/>
    <cellStyle name="Normal 190 19 4" xfId="1637"/>
    <cellStyle name="Normal 190 2" xfId="1638"/>
    <cellStyle name="Normal 190 2 2" xfId="1639"/>
    <cellStyle name="Normal 190 2 3" xfId="1640"/>
    <cellStyle name="Normal 190 2 4" xfId="1641"/>
    <cellStyle name="Normal 190 20" xfId="1642"/>
    <cellStyle name="Normal 190 20 2" xfId="1643"/>
    <cellStyle name="Normal 190 20 3" xfId="1644"/>
    <cellStyle name="Normal 190 20 4" xfId="1645"/>
    <cellStyle name="Normal 190 21" xfId="1646"/>
    <cellStyle name="Normal 190 21 2" xfId="1647"/>
    <cellStyle name="Normal 190 21 3" xfId="1648"/>
    <cellStyle name="Normal 190 21 4" xfId="1649"/>
    <cellStyle name="Normal 190 22" xfId="1650"/>
    <cellStyle name="Normal 190 22 2" xfId="1651"/>
    <cellStyle name="Normal 190 22 3" xfId="1652"/>
    <cellStyle name="Normal 190 22 4" xfId="1653"/>
    <cellStyle name="Normal 190 23" xfId="1654"/>
    <cellStyle name="Normal 190 23 2" xfId="1655"/>
    <cellStyle name="Normal 190 23 3" xfId="1656"/>
    <cellStyle name="Normal 190 23 4" xfId="1657"/>
    <cellStyle name="Normal 190 24" xfId="1658"/>
    <cellStyle name="Normal 190 24 2" xfId="1659"/>
    <cellStyle name="Normal 190 24 3" xfId="1660"/>
    <cellStyle name="Normal 190 24 4" xfId="1661"/>
    <cellStyle name="Normal 190 25" xfId="1662"/>
    <cellStyle name="Normal 190 25 2" xfId="1663"/>
    <cellStyle name="Normal 190 25 3" xfId="1664"/>
    <cellStyle name="Normal 190 25 4" xfId="1665"/>
    <cellStyle name="Normal 190 26" xfId="1666"/>
    <cellStyle name="Normal 190 26 2" xfId="1667"/>
    <cellStyle name="Normal 190 26 3" xfId="1668"/>
    <cellStyle name="Normal 190 26 4" xfId="1669"/>
    <cellStyle name="Normal 190 27" xfId="1670"/>
    <cellStyle name="Normal 190 27 2" xfId="1671"/>
    <cellStyle name="Normal 190 27 3" xfId="1672"/>
    <cellStyle name="Normal 190 27 4" xfId="1673"/>
    <cellStyle name="Normal 190 28" xfId="1674"/>
    <cellStyle name="Normal 190 28 2" xfId="1675"/>
    <cellStyle name="Normal 190 28 3" xfId="1676"/>
    <cellStyle name="Normal 190 28 4" xfId="1677"/>
    <cellStyle name="Normal 190 29" xfId="1678"/>
    <cellStyle name="Normal 190 29 2" xfId="1679"/>
    <cellStyle name="Normal 190 29 3" xfId="1680"/>
    <cellStyle name="Normal 190 29 4" xfId="1681"/>
    <cellStyle name="Normal 190 3" xfId="1682"/>
    <cellStyle name="Normal 190 3 2" xfId="1683"/>
    <cellStyle name="Normal 190 3 3" xfId="1684"/>
    <cellStyle name="Normal 190 3 4" xfId="1685"/>
    <cellStyle name="Normal 190 30" xfId="1686"/>
    <cellStyle name="Normal 190 30 2" xfId="1687"/>
    <cellStyle name="Normal 190 30 3" xfId="1688"/>
    <cellStyle name="Normal 190 30 4" xfId="1689"/>
    <cellStyle name="Normal 190 31" xfId="1690"/>
    <cellStyle name="Normal 190 31 2" xfId="1691"/>
    <cellStyle name="Normal 190 31 3" xfId="1692"/>
    <cellStyle name="Normal 190 31 4" xfId="1693"/>
    <cellStyle name="Normal 190 32" xfId="1694"/>
    <cellStyle name="Normal 190 32 2" xfId="1695"/>
    <cellStyle name="Normal 190 32 3" xfId="1696"/>
    <cellStyle name="Normal 190 32 4" xfId="1697"/>
    <cellStyle name="Normal 190 33" xfId="1698"/>
    <cellStyle name="Normal 190 33 2" xfId="1699"/>
    <cellStyle name="Normal 190 33 3" xfId="1700"/>
    <cellStyle name="Normal 190 33 4" xfId="1701"/>
    <cellStyle name="Normal 190 34" xfId="1702"/>
    <cellStyle name="Normal 190 34 2" xfId="1703"/>
    <cellStyle name="Normal 190 34 3" xfId="1704"/>
    <cellStyle name="Normal 190 34 4" xfId="1705"/>
    <cellStyle name="Normal 190 35" xfId="1706"/>
    <cellStyle name="Normal 190 35 2" xfId="1707"/>
    <cellStyle name="Normal 190 35 3" xfId="1708"/>
    <cellStyle name="Normal 190 35 4" xfId="1709"/>
    <cellStyle name="Normal 190 36" xfId="1710"/>
    <cellStyle name="Normal 190 36 2" xfId="1711"/>
    <cellStyle name="Normal 190 36 3" xfId="1712"/>
    <cellStyle name="Normal 190 36 4" xfId="1713"/>
    <cellStyle name="Normal 190 37" xfId="1714"/>
    <cellStyle name="Normal 190 37 2" xfId="1715"/>
    <cellStyle name="Normal 190 37 3" xfId="1716"/>
    <cellStyle name="Normal 190 37 4" xfId="1717"/>
    <cellStyle name="Normal 190 38" xfId="1718"/>
    <cellStyle name="Normal 190 38 2" xfId="1719"/>
    <cellStyle name="Normal 190 38 3" xfId="1720"/>
    <cellStyle name="Normal 190 38 4" xfId="1721"/>
    <cellStyle name="Normal 190 39" xfId="1722"/>
    <cellStyle name="Normal 190 39 2" xfId="1723"/>
    <cellStyle name="Normal 190 39 3" xfId="1724"/>
    <cellStyle name="Normal 190 39 4" xfId="1725"/>
    <cellStyle name="Normal 190 4" xfId="1726"/>
    <cellStyle name="Normal 190 4 2" xfId="1727"/>
    <cellStyle name="Normal 190 4 3" xfId="1728"/>
    <cellStyle name="Normal 190 4 4" xfId="1729"/>
    <cellStyle name="Normal 190 40" xfId="1730"/>
    <cellStyle name="Normal 190 40 2" xfId="1731"/>
    <cellStyle name="Normal 190 40 3" xfId="1732"/>
    <cellStyle name="Normal 190 40 4" xfId="1733"/>
    <cellStyle name="Normal 190 41" xfId="1734"/>
    <cellStyle name="Normal 190 41 2" xfId="1735"/>
    <cellStyle name="Normal 190 41 3" xfId="1736"/>
    <cellStyle name="Normal 190 41 4" xfId="1737"/>
    <cellStyle name="Normal 190 42" xfId="1738"/>
    <cellStyle name="Normal 190 42 2" xfId="1739"/>
    <cellStyle name="Normal 190 42 3" xfId="1740"/>
    <cellStyle name="Normal 190 42 4" xfId="1741"/>
    <cellStyle name="Normal 190 43" xfId="1742"/>
    <cellStyle name="Normal 190 43 2" xfId="1743"/>
    <cellStyle name="Normal 190 43 3" xfId="1744"/>
    <cellStyle name="Normal 190 43 4" xfId="1745"/>
    <cellStyle name="Normal 190 44" xfId="1746"/>
    <cellStyle name="Normal 190 44 2" xfId="1747"/>
    <cellStyle name="Normal 190 44 2 2" xfId="1748"/>
    <cellStyle name="Normal 190 44 3" xfId="1749"/>
    <cellStyle name="Normal 190 44 4" xfId="1750"/>
    <cellStyle name="Normal 190 45" xfId="1751"/>
    <cellStyle name="Normal 190 45 2" xfId="1752"/>
    <cellStyle name="Normal 190 45 3" xfId="1753"/>
    <cellStyle name="Normal 190 45 4" xfId="1754"/>
    <cellStyle name="Normal 190 46" xfId="1755"/>
    <cellStyle name="Normal 190 46 2" xfId="1756"/>
    <cellStyle name="Normal 190 46 3" xfId="1757"/>
    <cellStyle name="Normal 190 46 4" xfId="1758"/>
    <cellStyle name="Normal 190 47" xfId="1759"/>
    <cellStyle name="Normal 190 47 2" xfId="1760"/>
    <cellStyle name="Normal 190 47 3" xfId="1761"/>
    <cellStyle name="Normal 190 47 4" xfId="1762"/>
    <cellStyle name="Normal 190 48" xfId="1763"/>
    <cellStyle name="Normal 190 48 2" xfId="1764"/>
    <cellStyle name="Normal 190 48 3" xfId="1765"/>
    <cellStyle name="Normal 190 48 4" xfId="1766"/>
    <cellStyle name="Normal 190 49" xfId="1767"/>
    <cellStyle name="Normal 190 49 2" xfId="1768"/>
    <cellStyle name="Normal 190 49 3" xfId="1769"/>
    <cellStyle name="Normal 190 49 4" xfId="1770"/>
    <cellStyle name="Normal 190 5" xfId="1771"/>
    <cellStyle name="Normal 190 5 2" xfId="1772"/>
    <cellStyle name="Normal 190 5 3" xfId="1773"/>
    <cellStyle name="Normal 190 5 4" xfId="1774"/>
    <cellStyle name="Normal 190 50" xfId="1775"/>
    <cellStyle name="Normal 190 50 2" xfId="1776"/>
    <cellStyle name="Normal 190 50 3" xfId="1777"/>
    <cellStyle name="Normal 190 50 4" xfId="1778"/>
    <cellStyle name="Normal 190 51" xfId="1779"/>
    <cellStyle name="Normal 190 51 2" xfId="1780"/>
    <cellStyle name="Normal 190 51 3" xfId="1781"/>
    <cellStyle name="Normal 190 51 4" xfId="1782"/>
    <cellStyle name="Normal 190 52" xfId="1783"/>
    <cellStyle name="Normal 190 52 2" xfId="1784"/>
    <cellStyle name="Normal 190 52 3" xfId="1785"/>
    <cellStyle name="Normal 190 52 4" xfId="1786"/>
    <cellStyle name="Normal 190 53" xfId="1787"/>
    <cellStyle name="Normal 190 53 2" xfId="1788"/>
    <cellStyle name="Normal 190 53 3" xfId="1789"/>
    <cellStyle name="Normal 190 53 4" xfId="1790"/>
    <cellStyle name="Normal 190 54" xfId="1791"/>
    <cellStyle name="Normal 190 54 2" xfId="1792"/>
    <cellStyle name="Normal 190 54 3" xfId="1793"/>
    <cellStyle name="Normal 190 54 4" xfId="1794"/>
    <cellStyle name="Normal 190 55" xfId="1795"/>
    <cellStyle name="Normal 190 55 2" xfId="1796"/>
    <cellStyle name="Normal 190 55 3" xfId="1797"/>
    <cellStyle name="Normal 190 55 4" xfId="1798"/>
    <cellStyle name="Normal 190 56" xfId="1799"/>
    <cellStyle name="Normal 190 56 2" xfId="1800"/>
    <cellStyle name="Normal 190 56 3" xfId="1801"/>
    <cellStyle name="Normal 190 56 4" xfId="1802"/>
    <cellStyle name="Normal 190 57" xfId="1803"/>
    <cellStyle name="Normal 190 57 2" xfId="1804"/>
    <cellStyle name="Normal 190 57 3" xfId="1805"/>
    <cellStyle name="Normal 190 57 4" xfId="1806"/>
    <cellStyle name="Normal 190 58" xfId="1807"/>
    <cellStyle name="Normal 190 58 2" xfId="1808"/>
    <cellStyle name="Normal 190 58 3" xfId="1809"/>
    <cellStyle name="Normal 190 58 4" xfId="1810"/>
    <cellStyle name="Normal 190 59" xfId="1811"/>
    <cellStyle name="Normal 190 6" xfId="1812"/>
    <cellStyle name="Normal 190 6 2" xfId="1813"/>
    <cellStyle name="Normal 190 6 3" xfId="1814"/>
    <cellStyle name="Normal 190 6 4" xfId="1815"/>
    <cellStyle name="Normal 190 60" xfId="1816"/>
    <cellStyle name="Normal 190 61" xfId="1817"/>
    <cellStyle name="Normal 190 7" xfId="1818"/>
    <cellStyle name="Normal 190 7 2" xfId="1819"/>
    <cellStyle name="Normal 190 7 3" xfId="1820"/>
    <cellStyle name="Normal 190 7 4" xfId="1821"/>
    <cellStyle name="Normal 190 8" xfId="1822"/>
    <cellStyle name="Normal 190 8 2" xfId="1823"/>
    <cellStyle name="Normal 190 8 3" xfId="1824"/>
    <cellStyle name="Normal 190 8 4" xfId="1825"/>
    <cellStyle name="Normal 190 9" xfId="1826"/>
    <cellStyle name="Normal 190 9 2" xfId="1827"/>
    <cellStyle name="Normal 190 9 3" xfId="1828"/>
    <cellStyle name="Normal 190 9 4" xfId="1829"/>
    <cellStyle name="Normal 191" xfId="1830"/>
    <cellStyle name="Normal 191 10" xfId="1831"/>
    <cellStyle name="Normal 191 10 2" xfId="1832"/>
    <cellStyle name="Normal 191 10 3" xfId="1833"/>
    <cellStyle name="Normal 191 10 4" xfId="1834"/>
    <cellStyle name="Normal 191 11" xfId="1835"/>
    <cellStyle name="Normal 191 11 2" xfId="1836"/>
    <cellStyle name="Normal 191 11 3" xfId="1837"/>
    <cellStyle name="Normal 191 11 4" xfId="1838"/>
    <cellStyle name="Normal 191 12" xfId="1839"/>
    <cellStyle name="Normal 191 12 2" xfId="1840"/>
    <cellStyle name="Normal 191 12 3" xfId="1841"/>
    <cellStyle name="Normal 191 12 4" xfId="1842"/>
    <cellStyle name="Normal 191 13" xfId="1843"/>
    <cellStyle name="Normal 191 13 2" xfId="1844"/>
    <cellStyle name="Normal 191 13 3" xfId="1845"/>
    <cellStyle name="Normal 191 13 4" xfId="1846"/>
    <cellStyle name="Normal 191 14" xfId="1847"/>
    <cellStyle name="Normal 191 14 2" xfId="1848"/>
    <cellStyle name="Normal 191 14 3" xfId="1849"/>
    <cellStyle name="Normal 191 14 4" xfId="1850"/>
    <cellStyle name="Normal 191 15" xfId="1851"/>
    <cellStyle name="Normal 191 15 2" xfId="1852"/>
    <cellStyle name="Normal 191 15 3" xfId="1853"/>
    <cellStyle name="Normal 191 15 4" xfId="1854"/>
    <cellStyle name="Normal 191 16" xfId="1855"/>
    <cellStyle name="Normal 191 16 2" xfId="1856"/>
    <cellStyle name="Normal 191 16 3" xfId="1857"/>
    <cellStyle name="Normal 191 16 4" xfId="1858"/>
    <cellStyle name="Normal 191 17" xfId="1859"/>
    <cellStyle name="Normal 191 17 2" xfId="1860"/>
    <cellStyle name="Normal 191 17 3" xfId="1861"/>
    <cellStyle name="Normal 191 17 4" xfId="1862"/>
    <cellStyle name="Normal 191 18" xfId="1863"/>
    <cellStyle name="Normal 191 18 2" xfId="1864"/>
    <cellStyle name="Normal 191 18 3" xfId="1865"/>
    <cellStyle name="Normal 191 18 4" xfId="1866"/>
    <cellStyle name="Normal 191 19" xfId="1867"/>
    <cellStyle name="Normal 191 19 2" xfId="1868"/>
    <cellStyle name="Normal 191 19 3" xfId="1869"/>
    <cellStyle name="Normal 191 19 4" xfId="1870"/>
    <cellStyle name="Normal 191 2" xfId="1871"/>
    <cellStyle name="Normal 191 2 2" xfId="1872"/>
    <cellStyle name="Normal 191 2 3" xfId="1873"/>
    <cellStyle name="Normal 191 2 4" xfId="1874"/>
    <cellStyle name="Normal 191 20" xfId="1875"/>
    <cellStyle name="Normal 191 21" xfId="1876"/>
    <cellStyle name="Normal 191 22" xfId="1877"/>
    <cellStyle name="Normal 191 3" xfId="1878"/>
    <cellStyle name="Normal 191 3 2" xfId="1879"/>
    <cellStyle name="Normal 191 3 3" xfId="1880"/>
    <cellStyle name="Normal 191 3 4" xfId="1881"/>
    <cellStyle name="Normal 191 4" xfId="1882"/>
    <cellStyle name="Normal 191 4 2" xfId="1883"/>
    <cellStyle name="Normal 191 4 3" xfId="1884"/>
    <cellStyle name="Normal 191 4 4" xfId="1885"/>
    <cellStyle name="Normal 191 5" xfId="1886"/>
    <cellStyle name="Normal 191 5 2" xfId="1887"/>
    <cellStyle name="Normal 191 5 3" xfId="1888"/>
    <cellStyle name="Normal 191 5 4" xfId="1889"/>
    <cellStyle name="Normal 191 6" xfId="1890"/>
    <cellStyle name="Normal 191 6 2" xfId="1891"/>
    <cellStyle name="Normal 191 6 3" xfId="1892"/>
    <cellStyle name="Normal 191 6 4" xfId="1893"/>
    <cellStyle name="Normal 191 7" xfId="1894"/>
    <cellStyle name="Normal 191 7 2" xfId="1895"/>
    <cellStyle name="Normal 191 7 3" xfId="1896"/>
    <cellStyle name="Normal 191 7 4" xfId="1897"/>
    <cellStyle name="Normal 191 8" xfId="1898"/>
    <cellStyle name="Normal 191 8 2" xfId="1899"/>
    <cellStyle name="Normal 191 8 3" xfId="1900"/>
    <cellStyle name="Normal 191 8 4" xfId="1901"/>
    <cellStyle name="Normal 191 9" xfId="1902"/>
    <cellStyle name="Normal 191 9 2" xfId="1903"/>
    <cellStyle name="Normal 191 9 3" xfId="1904"/>
    <cellStyle name="Normal 191 9 4" xfId="1905"/>
    <cellStyle name="Normal 192" xfId="1906"/>
    <cellStyle name="Normal 192 10" xfId="1907"/>
    <cellStyle name="Normal 192 10 2" xfId="1908"/>
    <cellStyle name="Normal 192 10 3" xfId="1909"/>
    <cellStyle name="Normal 192 10 4" xfId="1910"/>
    <cellStyle name="Normal 192 11" xfId="1911"/>
    <cellStyle name="Normal 192 12" xfId="1912"/>
    <cellStyle name="Normal 192 13" xfId="1913"/>
    <cellStyle name="Normal 192 2" xfId="1914"/>
    <cellStyle name="Normal 192 2 2" xfId="1915"/>
    <cellStyle name="Normal 192 2 3" xfId="1916"/>
    <cellStyle name="Normal 192 2 4" xfId="1917"/>
    <cellStyle name="Normal 192 3" xfId="1918"/>
    <cellStyle name="Normal 192 3 2" xfId="1919"/>
    <cellStyle name="Normal 192 3 3" xfId="1920"/>
    <cellStyle name="Normal 192 3 4" xfId="1921"/>
    <cellStyle name="Normal 192 4" xfId="1922"/>
    <cellStyle name="Normal 192 4 2" xfId="1923"/>
    <cellStyle name="Normal 192 4 3" xfId="1924"/>
    <cellStyle name="Normal 192 4 4" xfId="1925"/>
    <cellStyle name="Normal 192 5" xfId="1926"/>
    <cellStyle name="Normal 192 5 2" xfId="1927"/>
    <cellStyle name="Normal 192 5 3" xfId="1928"/>
    <cellStyle name="Normal 192 5 4" xfId="1929"/>
    <cellStyle name="Normal 192 6" xfId="1930"/>
    <cellStyle name="Normal 192 6 2" xfId="1931"/>
    <cellStyle name="Normal 192 6 3" xfId="1932"/>
    <cellStyle name="Normal 192 6 4" xfId="1933"/>
    <cellStyle name="Normal 192 7" xfId="1934"/>
    <cellStyle name="Normal 192 7 2" xfId="1935"/>
    <cellStyle name="Normal 192 7 3" xfId="1936"/>
    <cellStyle name="Normal 192 7 4" xfId="1937"/>
    <cellStyle name="Normal 192 8" xfId="1938"/>
    <cellStyle name="Normal 192 8 2" xfId="1939"/>
    <cellStyle name="Normal 192 8 3" xfId="1940"/>
    <cellStyle name="Normal 192 8 4" xfId="1941"/>
    <cellStyle name="Normal 192 9" xfId="1942"/>
    <cellStyle name="Normal 192 9 2" xfId="1943"/>
    <cellStyle name="Normal 192 9 3" xfId="1944"/>
    <cellStyle name="Normal 192 9 4" xfId="1945"/>
    <cellStyle name="Normal 193" xfId="1946"/>
    <cellStyle name="Normal 193 2" xfId="1947"/>
    <cellStyle name="Normal 193 2 2" xfId="1948"/>
    <cellStyle name="Normal 193 2 3" xfId="1949"/>
    <cellStyle name="Normal 193 2 4" xfId="1950"/>
    <cellStyle name="Normal 193 3" xfId="1951"/>
    <cellStyle name="Normal 193 3 2" xfId="1952"/>
    <cellStyle name="Normal 193 3 3" xfId="1953"/>
    <cellStyle name="Normal 193 3 4" xfId="1954"/>
    <cellStyle name="Normal 193 4" xfId="1955"/>
    <cellStyle name="Normal 193 4 2" xfId="1956"/>
    <cellStyle name="Normal 193 4 3" xfId="1957"/>
    <cellStyle name="Normal 193 4 4" xfId="1958"/>
    <cellStyle name="Normal 193 5" xfId="1959"/>
    <cellStyle name="Normal 193 6" xfId="1960"/>
    <cellStyle name="Normal 193 7" xfId="1961"/>
    <cellStyle name="Normal 194" xfId="1962"/>
    <cellStyle name="Normal 194 2" xfId="1963"/>
    <cellStyle name="Normal 194 2 2" xfId="1964"/>
    <cellStyle name="Normal 194 2 3" xfId="1965"/>
    <cellStyle name="Normal 194 2 4" xfId="1966"/>
    <cellStyle name="Normal 194 3" xfId="1967"/>
    <cellStyle name="Normal 194 3 2" xfId="1968"/>
    <cellStyle name="Normal 194 3 3" xfId="1969"/>
    <cellStyle name="Normal 194 3 4" xfId="1970"/>
    <cellStyle name="Normal 194 4" xfId="1971"/>
    <cellStyle name="Normal 194 5" xfId="1972"/>
    <cellStyle name="Normal 194 6" xfId="1973"/>
    <cellStyle name="Normal 195" xfId="1974"/>
    <cellStyle name="Normal 195 2" xfId="1975"/>
    <cellStyle name="Normal 195 2 2" xfId="1976"/>
    <cellStyle name="Normal 195 2 3" xfId="1977"/>
    <cellStyle name="Normal 195 2 4" xfId="1978"/>
    <cellStyle name="Normal 195 3" xfId="1979"/>
    <cellStyle name="Normal 195 3 2" xfId="1980"/>
    <cellStyle name="Normal 195 3 3" xfId="1981"/>
    <cellStyle name="Normal 195 3 4" xfId="1982"/>
    <cellStyle name="Normal 195 4" xfId="1983"/>
    <cellStyle name="Normal 195 4 2" xfId="1984"/>
    <cellStyle name="Normal 195 4 3" xfId="1985"/>
    <cellStyle name="Normal 195 4 4" xfId="1986"/>
    <cellStyle name="Normal 195 5" xfId="1987"/>
    <cellStyle name="Normal 195 6" xfId="1988"/>
    <cellStyle name="Normal 195 7" xfId="1989"/>
    <cellStyle name="Normal 196" xfId="1990"/>
    <cellStyle name="Normal 196 2" xfId="1991"/>
    <cellStyle name="Normal 196 2 2" xfId="1992"/>
    <cellStyle name="Normal 196 2 3" xfId="1993"/>
    <cellStyle name="Normal 196 2 4" xfId="1994"/>
    <cellStyle name="Normal 196 3" xfId="1995"/>
    <cellStyle name="Normal 196 4" xfId="1996"/>
    <cellStyle name="Normal 196 5" xfId="1997"/>
    <cellStyle name="Normal 197" xfId="1998"/>
    <cellStyle name="Normal 197 2" xfId="1999"/>
    <cellStyle name="Normal 197 2 2" xfId="2000"/>
    <cellStyle name="Normal 197 2 3" xfId="2001"/>
    <cellStyle name="Normal 197 2 4" xfId="2002"/>
    <cellStyle name="Normal 197 3" xfId="2003"/>
    <cellStyle name="Normal 197 4" xfId="2004"/>
    <cellStyle name="Normal 197 5" xfId="2005"/>
    <cellStyle name="Normal 198" xfId="2006"/>
    <cellStyle name="Normal 198 10" xfId="2007"/>
    <cellStyle name="Normal 198 10 2" xfId="2008"/>
    <cellStyle name="Normal 198 10 3" xfId="2009"/>
    <cellStyle name="Normal 198 10 4" xfId="2010"/>
    <cellStyle name="Normal 198 11" xfId="2011"/>
    <cellStyle name="Normal 198 11 2" xfId="2012"/>
    <cellStyle name="Normal 198 11 3" xfId="2013"/>
    <cellStyle name="Normal 198 11 4" xfId="2014"/>
    <cellStyle name="Normal 198 12" xfId="2015"/>
    <cellStyle name="Normal 198 13" xfId="2016"/>
    <cellStyle name="Normal 198 14" xfId="2017"/>
    <cellStyle name="Normal 198 2" xfId="2018"/>
    <cellStyle name="Normal 198 2 2" xfId="2019"/>
    <cellStyle name="Normal 198 2 3" xfId="2020"/>
    <cellStyle name="Normal 198 2 4" xfId="2021"/>
    <cellStyle name="Normal 198 3" xfId="2022"/>
    <cellStyle name="Normal 198 3 2" xfId="2023"/>
    <cellStyle name="Normal 198 3 3" xfId="2024"/>
    <cellStyle name="Normal 198 3 4" xfId="2025"/>
    <cellStyle name="Normal 198 4" xfId="2026"/>
    <cellStyle name="Normal 198 4 2" xfId="2027"/>
    <cellStyle name="Normal 198 4 3" xfId="2028"/>
    <cellStyle name="Normal 198 4 4" xfId="2029"/>
    <cellStyle name="Normal 198 5" xfId="2030"/>
    <cellStyle name="Normal 198 5 2" xfId="2031"/>
    <cellStyle name="Normal 198 5 3" xfId="2032"/>
    <cellStyle name="Normal 198 5 4" xfId="2033"/>
    <cellStyle name="Normal 198 6" xfId="2034"/>
    <cellStyle name="Normal 198 6 2" xfId="2035"/>
    <cellStyle name="Normal 198 6 3" xfId="2036"/>
    <cellStyle name="Normal 198 6 4" xfId="2037"/>
    <cellStyle name="Normal 198 7" xfId="2038"/>
    <cellStyle name="Normal 198 7 2" xfId="2039"/>
    <cellStyle name="Normal 198 7 3" xfId="2040"/>
    <cellStyle name="Normal 198 7 4" xfId="2041"/>
    <cellStyle name="Normal 198 8" xfId="2042"/>
    <cellStyle name="Normal 198 8 2" xfId="2043"/>
    <cellStyle name="Normal 198 8 3" xfId="2044"/>
    <cellStyle name="Normal 198 8 4" xfId="2045"/>
    <cellStyle name="Normal 198 9" xfId="2046"/>
    <cellStyle name="Normal 198 9 2" xfId="2047"/>
    <cellStyle name="Normal 198 9 3" xfId="2048"/>
    <cellStyle name="Normal 198 9 4" xfId="2049"/>
    <cellStyle name="Normal 199" xfId="2050"/>
    <cellStyle name="Normal 199 2" xfId="2051"/>
    <cellStyle name="Normal 199 2 2" xfId="2052"/>
    <cellStyle name="Normal 199 2 3" xfId="2053"/>
    <cellStyle name="Normal 199 2 4" xfId="2054"/>
    <cellStyle name="Normal 199 3" xfId="2055"/>
    <cellStyle name="Normal 199 4" xfId="2056"/>
    <cellStyle name="Normal 199 5" xfId="2057"/>
    <cellStyle name="Normal 2" xfId="2058"/>
    <cellStyle name="Normal 2 10" xfId="3431"/>
    <cellStyle name="Normal 2 14" xfId="2059"/>
    <cellStyle name="Normal 2 2" xfId="2060"/>
    <cellStyle name="Normal 2 2 2" xfId="2061"/>
    <cellStyle name="Normal 2 2 2 2" xfId="2062"/>
    <cellStyle name="Normal 2 2 2 2 2" xfId="2063"/>
    <cellStyle name="Normal 2 2 2 2 2 2" xfId="2064"/>
    <cellStyle name="Normal 2 2 2 2 3" xfId="2065"/>
    <cellStyle name="Normal 2 2 2 2 3 2" xfId="2066"/>
    <cellStyle name="Normal 2 2 2 2 4" xfId="2067"/>
    <cellStyle name="Normal 2 2 2 3" xfId="2068"/>
    <cellStyle name="Normal 2 2 2 3 2" xfId="2069"/>
    <cellStyle name="Normal 2 2 2 4" xfId="2070"/>
    <cellStyle name="Normal 2 2 3" xfId="2071"/>
    <cellStyle name="Normal 2 2 3 2" xfId="2072"/>
    <cellStyle name="Normal 2 2 3 3" xfId="2073"/>
    <cellStyle name="Normal 2 2 4" xfId="2074"/>
    <cellStyle name="Normal 2 2 4 2" xfId="2075"/>
    <cellStyle name="Normal 2 2 4 3" xfId="2076"/>
    <cellStyle name="Normal 2 2 5" xfId="2077"/>
    <cellStyle name="Normal 2 2 5 2" xfId="2078"/>
    <cellStyle name="Normal 2 2 5 3" xfId="2079"/>
    <cellStyle name="Normal 2 2 5 4" xfId="2080"/>
    <cellStyle name="Normal 2 2 6" xfId="2081"/>
    <cellStyle name="Normal 2 2 6 2" xfId="2082"/>
    <cellStyle name="Normal 2 2 7" xfId="2083"/>
    <cellStyle name="Normal 2 3" xfId="2084"/>
    <cellStyle name="Normal 2 3 2" xfId="2085"/>
    <cellStyle name="Normal 2 3 2 2" xfId="2086"/>
    <cellStyle name="Normal 2 3 2 3" xfId="2087"/>
    <cellStyle name="Normal 2 3 3" xfId="2088"/>
    <cellStyle name="Normal 2 3 4" xfId="2089"/>
    <cellStyle name="Normal 2 4" xfId="2090"/>
    <cellStyle name="Normal 2 4 2" xfId="2091"/>
    <cellStyle name="Normal 2 4 3" xfId="2092"/>
    <cellStyle name="Normal 2 4 4" xfId="2093"/>
    <cellStyle name="Normal 2 5" xfId="2094"/>
    <cellStyle name="Normal 2 5 2" xfId="2095"/>
    <cellStyle name="Normal 2 5 3" xfId="2096"/>
    <cellStyle name="Normal 2 5 4" xfId="2097"/>
    <cellStyle name="Normal 2 6" xfId="2098"/>
    <cellStyle name="Normal 2 6 2" xfId="2099"/>
    <cellStyle name="Normal 2 6 3" xfId="2100"/>
    <cellStyle name="Normal 20" xfId="2101"/>
    <cellStyle name="Normal 20 2" xfId="2102"/>
    <cellStyle name="Normal 20 3" xfId="2103"/>
    <cellStyle name="Normal 20 4" xfId="2104"/>
    <cellStyle name="Normal 200" xfId="2105"/>
    <cellStyle name="Normal 200 2" xfId="2106"/>
    <cellStyle name="Normal 200 2 2" xfId="2107"/>
    <cellStyle name="Normal 200 2 3" xfId="2108"/>
    <cellStyle name="Normal 200 2 4" xfId="2109"/>
    <cellStyle name="Normal 200 3" xfId="2110"/>
    <cellStyle name="Normal 200 4" xfId="2111"/>
    <cellStyle name="Normal 200 5" xfId="2112"/>
    <cellStyle name="Normal 201" xfId="2113"/>
    <cellStyle name="Normal 201 2" xfId="2114"/>
    <cellStyle name="Normal 201 2 2" xfId="2115"/>
    <cellStyle name="Normal 201 2 3" xfId="2116"/>
    <cellStyle name="Normal 201 2 4" xfId="2117"/>
    <cellStyle name="Normal 201 3" xfId="2118"/>
    <cellStyle name="Normal 201 4" xfId="2119"/>
    <cellStyle name="Normal 201 5" xfId="2120"/>
    <cellStyle name="Normal 202" xfId="2121"/>
    <cellStyle name="Normal 202 10" xfId="2122"/>
    <cellStyle name="Normal 202 2" xfId="2123"/>
    <cellStyle name="Normal 202 2 2" xfId="2124"/>
    <cellStyle name="Normal 202 2 3" xfId="2125"/>
    <cellStyle name="Normal 202 2 4" xfId="2126"/>
    <cellStyle name="Normal 202 3" xfId="2127"/>
    <cellStyle name="Normal 202 3 2" xfId="2128"/>
    <cellStyle name="Normal 202 3 3" xfId="2129"/>
    <cellStyle name="Normal 202 3 4" xfId="2130"/>
    <cellStyle name="Normal 202 4" xfId="2131"/>
    <cellStyle name="Normal 202 4 2" xfId="2132"/>
    <cellStyle name="Normal 202 4 3" xfId="2133"/>
    <cellStyle name="Normal 202 4 4" xfId="2134"/>
    <cellStyle name="Normal 202 5" xfId="2135"/>
    <cellStyle name="Normal 202 5 2" xfId="2136"/>
    <cellStyle name="Normal 202 5 3" xfId="2137"/>
    <cellStyle name="Normal 202 5 4" xfId="2138"/>
    <cellStyle name="Normal 202 6" xfId="2139"/>
    <cellStyle name="Normal 202 6 2" xfId="2140"/>
    <cellStyle name="Normal 202 6 3" xfId="2141"/>
    <cellStyle name="Normal 202 6 4" xfId="2142"/>
    <cellStyle name="Normal 202 7" xfId="2143"/>
    <cellStyle name="Normal 202 7 2" xfId="2144"/>
    <cellStyle name="Normal 202 7 3" xfId="2145"/>
    <cellStyle name="Normal 202 7 4" xfId="2146"/>
    <cellStyle name="Normal 202 8" xfId="2147"/>
    <cellStyle name="Normal 202 9" xfId="2148"/>
    <cellStyle name="Normal 203" xfId="2149"/>
    <cellStyle name="Normal 203 2" xfId="2150"/>
    <cellStyle name="Normal 203 2 2" xfId="2151"/>
    <cellStyle name="Normal 203 2 3" xfId="2152"/>
    <cellStyle name="Normal 203 2 4" xfId="2153"/>
    <cellStyle name="Normal 203 3" xfId="2154"/>
    <cellStyle name="Normal 203 3 2" xfId="2155"/>
    <cellStyle name="Normal 203 3 3" xfId="2156"/>
    <cellStyle name="Normal 203 3 4" xfId="2157"/>
    <cellStyle name="Normal 203 4" xfId="2158"/>
    <cellStyle name="Normal 203 4 2" xfId="2159"/>
    <cellStyle name="Normal 203 4 3" xfId="2160"/>
    <cellStyle name="Normal 203 4 4" xfId="2161"/>
    <cellStyle name="Normal 203 5" xfId="2162"/>
    <cellStyle name="Normal 203 5 2" xfId="2163"/>
    <cellStyle name="Normal 203 5 3" xfId="2164"/>
    <cellStyle name="Normal 203 5 4" xfId="2165"/>
    <cellStyle name="Normal 203 6" xfId="2166"/>
    <cellStyle name="Normal 203 6 2" xfId="2167"/>
    <cellStyle name="Normal 203 6 3" xfId="2168"/>
    <cellStyle name="Normal 203 6 4" xfId="2169"/>
    <cellStyle name="Normal 203 7" xfId="2170"/>
    <cellStyle name="Normal 203 8" xfId="2171"/>
    <cellStyle name="Normal 203 9" xfId="2172"/>
    <cellStyle name="Normal 204" xfId="2173"/>
    <cellStyle name="Normal 204 2" xfId="2174"/>
    <cellStyle name="Normal 204 2 2" xfId="2175"/>
    <cellStyle name="Normal 204 2 3" xfId="2176"/>
    <cellStyle name="Normal 204 2 4" xfId="2177"/>
    <cellStyle name="Normal 204 3" xfId="2178"/>
    <cellStyle name="Normal 204 4" xfId="2179"/>
    <cellStyle name="Normal 204 5" xfId="2180"/>
    <cellStyle name="Normal 205" xfId="2181"/>
    <cellStyle name="Normal 205 2" xfId="2182"/>
    <cellStyle name="Normal 205 2 2" xfId="2183"/>
    <cellStyle name="Normal 205 2 3" xfId="2184"/>
    <cellStyle name="Normal 205 2 4" xfId="2185"/>
    <cellStyle name="Normal 205 3" xfId="2186"/>
    <cellStyle name="Normal 205 3 2" xfId="2187"/>
    <cellStyle name="Normal 205 3 3" xfId="2188"/>
    <cellStyle name="Normal 205 3 4" xfId="2189"/>
    <cellStyle name="Normal 205 4" xfId="2190"/>
    <cellStyle name="Normal 205 4 2" xfId="2191"/>
    <cellStyle name="Normal 205 4 3" xfId="2192"/>
    <cellStyle name="Normal 205 4 4" xfId="2193"/>
    <cellStyle name="Normal 205 5" xfId="2194"/>
    <cellStyle name="Normal 205 6" xfId="2195"/>
    <cellStyle name="Normal 205 7" xfId="2196"/>
    <cellStyle name="Normal 206" xfId="2197"/>
    <cellStyle name="Normal 206 2" xfId="2198"/>
    <cellStyle name="Normal 206 2 2" xfId="2199"/>
    <cellStyle name="Normal 206 2 3" xfId="2200"/>
    <cellStyle name="Normal 206 2 4" xfId="2201"/>
    <cellStyle name="Normal 206 3" xfId="2202"/>
    <cellStyle name="Normal 206 4" xfId="2203"/>
    <cellStyle name="Normal 206 5" xfId="2204"/>
    <cellStyle name="Normal 207" xfId="2205"/>
    <cellStyle name="Normal 207 2" xfId="2206"/>
    <cellStyle name="Normal 207 2 2" xfId="2207"/>
    <cellStyle name="Normal 207 2 3" xfId="2208"/>
    <cellStyle name="Normal 207 2 4" xfId="2209"/>
    <cellStyle name="Normal 207 3" xfId="2210"/>
    <cellStyle name="Normal 207 4" xfId="2211"/>
    <cellStyle name="Normal 207 5" xfId="2212"/>
    <cellStyle name="Normal 208" xfId="2213"/>
    <cellStyle name="Normal 208 10" xfId="2214"/>
    <cellStyle name="Normal 208 10 2" xfId="2215"/>
    <cellStyle name="Normal 208 10 3" xfId="2216"/>
    <cellStyle name="Normal 208 10 4" xfId="2217"/>
    <cellStyle name="Normal 208 11" xfId="2218"/>
    <cellStyle name="Normal 208 11 2" xfId="2219"/>
    <cellStyle name="Normal 208 11 3" xfId="2220"/>
    <cellStyle name="Normal 208 11 4" xfId="2221"/>
    <cellStyle name="Normal 208 12" xfId="2222"/>
    <cellStyle name="Normal 208 12 2" xfId="2223"/>
    <cellStyle name="Normal 208 12 3" xfId="2224"/>
    <cellStyle name="Normal 208 12 4" xfId="2225"/>
    <cellStyle name="Normal 208 13" xfId="2226"/>
    <cellStyle name="Normal 208 13 2" xfId="2227"/>
    <cellStyle name="Normal 208 13 3" xfId="2228"/>
    <cellStyle name="Normal 208 13 4" xfId="2229"/>
    <cellStyle name="Normal 208 14" xfId="2230"/>
    <cellStyle name="Normal 208 14 2" xfId="2231"/>
    <cellStyle name="Normal 208 14 3" xfId="2232"/>
    <cellStyle name="Normal 208 14 4" xfId="2233"/>
    <cellStyle name="Normal 208 15" xfId="2234"/>
    <cellStyle name="Normal 208 15 2" xfId="2235"/>
    <cellStyle name="Normal 208 15 3" xfId="2236"/>
    <cellStyle name="Normal 208 15 4" xfId="2237"/>
    <cellStyle name="Normal 208 16" xfId="2238"/>
    <cellStyle name="Normal 208 16 2" xfId="2239"/>
    <cellStyle name="Normal 208 16 3" xfId="2240"/>
    <cellStyle name="Normal 208 16 4" xfId="2241"/>
    <cellStyle name="Normal 208 17" xfId="2242"/>
    <cellStyle name="Normal 208 17 2" xfId="2243"/>
    <cellStyle name="Normal 208 17 3" xfId="2244"/>
    <cellStyle name="Normal 208 17 4" xfId="2245"/>
    <cellStyle name="Normal 208 18" xfId="2246"/>
    <cellStyle name="Normal 208 18 2" xfId="2247"/>
    <cellStyle name="Normal 208 18 3" xfId="2248"/>
    <cellStyle name="Normal 208 18 4" xfId="2249"/>
    <cellStyle name="Normal 208 19" xfId="2250"/>
    <cellStyle name="Normal 208 19 2" xfId="2251"/>
    <cellStyle name="Normal 208 19 3" xfId="2252"/>
    <cellStyle name="Normal 208 19 4" xfId="2253"/>
    <cellStyle name="Normal 208 2" xfId="2254"/>
    <cellStyle name="Normal 208 2 2" xfId="2255"/>
    <cellStyle name="Normal 208 2 3" xfId="2256"/>
    <cellStyle name="Normal 208 2 4" xfId="2257"/>
    <cellStyle name="Normal 208 20" xfId="2258"/>
    <cellStyle name="Normal 208 20 2" xfId="2259"/>
    <cellStyle name="Normal 208 20 3" xfId="2260"/>
    <cellStyle name="Normal 208 20 4" xfId="2261"/>
    <cellStyle name="Normal 208 21" xfId="2262"/>
    <cellStyle name="Normal 208 21 2" xfId="2263"/>
    <cellStyle name="Normal 208 21 3" xfId="2264"/>
    <cellStyle name="Normal 208 21 4" xfId="2265"/>
    <cellStyle name="Normal 208 22" xfId="2266"/>
    <cellStyle name="Normal 208 22 2" xfId="2267"/>
    <cellStyle name="Normal 208 22 3" xfId="2268"/>
    <cellStyle name="Normal 208 22 4" xfId="2269"/>
    <cellStyle name="Normal 208 23" xfId="2270"/>
    <cellStyle name="Normal 208 23 2" xfId="2271"/>
    <cellStyle name="Normal 208 23 3" xfId="2272"/>
    <cellStyle name="Normal 208 23 4" xfId="2273"/>
    <cellStyle name="Normal 208 24" xfId="2274"/>
    <cellStyle name="Normal 208 24 2" xfId="2275"/>
    <cellStyle name="Normal 208 24 3" xfId="2276"/>
    <cellStyle name="Normal 208 24 4" xfId="2277"/>
    <cellStyle name="Normal 208 25" xfId="2278"/>
    <cellStyle name="Normal 208 25 2" xfId="2279"/>
    <cellStyle name="Normal 208 25 3" xfId="2280"/>
    <cellStyle name="Normal 208 25 4" xfId="2281"/>
    <cellStyle name="Normal 208 26" xfId="2282"/>
    <cellStyle name="Normal 208 26 2" xfId="2283"/>
    <cellStyle name="Normal 208 26 3" xfId="2284"/>
    <cellStyle name="Normal 208 26 4" xfId="2285"/>
    <cellStyle name="Normal 208 27" xfId="2286"/>
    <cellStyle name="Normal 208 27 2" xfId="2287"/>
    <cellStyle name="Normal 208 27 3" xfId="2288"/>
    <cellStyle name="Normal 208 27 4" xfId="2289"/>
    <cellStyle name="Normal 208 28" xfId="2290"/>
    <cellStyle name="Normal 208 28 2" xfId="2291"/>
    <cellStyle name="Normal 208 28 3" xfId="2292"/>
    <cellStyle name="Normal 208 28 4" xfId="2293"/>
    <cellStyle name="Normal 208 29" xfId="2294"/>
    <cellStyle name="Normal 208 29 2" xfId="2295"/>
    <cellStyle name="Normal 208 29 3" xfId="2296"/>
    <cellStyle name="Normal 208 29 4" xfId="2297"/>
    <cellStyle name="Normal 208 3" xfId="2298"/>
    <cellStyle name="Normal 208 3 2" xfId="2299"/>
    <cellStyle name="Normal 208 3 3" xfId="2300"/>
    <cellStyle name="Normal 208 3 4" xfId="2301"/>
    <cellStyle name="Normal 208 30" xfId="2302"/>
    <cellStyle name="Normal 208 30 2" xfId="2303"/>
    <cellStyle name="Normal 208 30 3" xfId="2304"/>
    <cellStyle name="Normal 208 30 4" xfId="2305"/>
    <cellStyle name="Normal 208 31" xfId="2306"/>
    <cellStyle name="Normal 208 31 2" xfId="2307"/>
    <cellStyle name="Normal 208 31 3" xfId="2308"/>
    <cellStyle name="Normal 208 31 4" xfId="2309"/>
    <cellStyle name="Normal 208 32" xfId="2310"/>
    <cellStyle name="Normal 208 32 2" xfId="2311"/>
    <cellStyle name="Normal 208 32 3" xfId="2312"/>
    <cellStyle name="Normal 208 32 4" xfId="2313"/>
    <cellStyle name="Normal 208 33" xfId="2314"/>
    <cellStyle name="Normal 208 33 2" xfId="2315"/>
    <cellStyle name="Normal 208 33 3" xfId="2316"/>
    <cellStyle name="Normal 208 33 4" xfId="2317"/>
    <cellStyle name="Normal 208 34" xfId="2318"/>
    <cellStyle name="Normal 208 34 2" xfId="2319"/>
    <cellStyle name="Normal 208 34 3" xfId="2320"/>
    <cellStyle name="Normal 208 34 4" xfId="2321"/>
    <cellStyle name="Normal 208 35" xfId="2322"/>
    <cellStyle name="Normal 208 35 2" xfId="2323"/>
    <cellStyle name="Normal 208 35 3" xfId="2324"/>
    <cellStyle name="Normal 208 35 4" xfId="2325"/>
    <cellStyle name="Normal 208 36" xfId="2326"/>
    <cellStyle name="Normal 208 36 2" xfId="2327"/>
    <cellStyle name="Normal 208 36 3" xfId="2328"/>
    <cellStyle name="Normal 208 36 4" xfId="2329"/>
    <cellStyle name="Normal 208 37" xfId="2330"/>
    <cellStyle name="Normal 208 37 2" xfId="2331"/>
    <cellStyle name="Normal 208 37 3" xfId="2332"/>
    <cellStyle name="Normal 208 37 4" xfId="2333"/>
    <cellStyle name="Normal 208 38" xfId="2334"/>
    <cellStyle name="Normal 208 38 2" xfId="2335"/>
    <cellStyle name="Normal 208 38 3" xfId="2336"/>
    <cellStyle name="Normal 208 38 4" xfId="2337"/>
    <cellStyle name="Normal 208 39" xfId="2338"/>
    <cellStyle name="Normal 208 4" xfId="2339"/>
    <cellStyle name="Normal 208 4 2" xfId="2340"/>
    <cellStyle name="Normal 208 4 3" xfId="2341"/>
    <cellStyle name="Normal 208 4 4" xfId="2342"/>
    <cellStyle name="Normal 208 40" xfId="2343"/>
    <cellStyle name="Normal 208 41" xfId="2344"/>
    <cellStyle name="Normal 208 5" xfId="2345"/>
    <cellStyle name="Normal 208 5 2" xfId="2346"/>
    <cellStyle name="Normal 208 5 3" xfId="2347"/>
    <cellStyle name="Normal 208 5 4" xfId="2348"/>
    <cellStyle name="Normal 208 6" xfId="2349"/>
    <cellStyle name="Normal 208 6 2" xfId="2350"/>
    <cellStyle name="Normal 208 6 3" xfId="2351"/>
    <cellStyle name="Normal 208 6 4" xfId="2352"/>
    <cellStyle name="Normal 208 7" xfId="2353"/>
    <cellStyle name="Normal 208 7 2" xfId="2354"/>
    <cellStyle name="Normal 208 7 3" xfId="2355"/>
    <cellStyle name="Normal 208 7 4" xfId="2356"/>
    <cellStyle name="Normal 208 8" xfId="2357"/>
    <cellStyle name="Normal 208 8 2" xfId="2358"/>
    <cellStyle name="Normal 208 8 3" xfId="2359"/>
    <cellStyle name="Normal 208 8 4" xfId="2360"/>
    <cellStyle name="Normal 208 9" xfId="2361"/>
    <cellStyle name="Normal 208 9 2" xfId="2362"/>
    <cellStyle name="Normal 208 9 3" xfId="2363"/>
    <cellStyle name="Normal 208 9 4" xfId="2364"/>
    <cellStyle name="Normal 209" xfId="2365"/>
    <cellStyle name="Normal 209 2" xfId="2366"/>
    <cellStyle name="Normal 209 2 2" xfId="2367"/>
    <cellStyle name="Normal 209 2 3" xfId="2368"/>
    <cellStyle name="Normal 209 2 4" xfId="2369"/>
    <cellStyle name="Normal 209 3" xfId="2370"/>
    <cellStyle name="Normal 209 3 2" xfId="2371"/>
    <cellStyle name="Normal 209 3 3" xfId="2372"/>
    <cellStyle name="Normal 209 3 4" xfId="2373"/>
    <cellStyle name="Normal 209 4" xfId="2374"/>
    <cellStyle name="Normal 209 5" xfId="2375"/>
    <cellStyle name="Normal 209 6" xfId="2376"/>
    <cellStyle name="Normal 21" xfId="2377"/>
    <cellStyle name="Normal 21 2" xfId="2378"/>
    <cellStyle name="Normal 21 3" xfId="2379"/>
    <cellStyle name="Normal 21 4" xfId="2380"/>
    <cellStyle name="Normal 210" xfId="2381"/>
    <cellStyle name="Normal 210 2" xfId="2382"/>
    <cellStyle name="Normal 210 2 2" xfId="2383"/>
    <cellStyle name="Normal 210 2 3" xfId="2384"/>
    <cellStyle name="Normal 210 2 4" xfId="2385"/>
    <cellStyle name="Normal 210 3" xfId="2386"/>
    <cellStyle name="Normal 210 4" xfId="2387"/>
    <cellStyle name="Normal 210 5" xfId="2388"/>
    <cellStyle name="Normal 211" xfId="2389"/>
    <cellStyle name="Normal 211 2" xfId="2390"/>
    <cellStyle name="Normal 211 2 2" xfId="2391"/>
    <cellStyle name="Normal 211 2 3" xfId="2392"/>
    <cellStyle name="Normal 211 2 4" xfId="2393"/>
    <cellStyle name="Normal 211 3" xfId="2394"/>
    <cellStyle name="Normal 211 3 2" xfId="2395"/>
    <cellStyle name="Normal 211 3 3" xfId="2396"/>
    <cellStyle name="Normal 211 3 4" xfId="2397"/>
    <cellStyle name="Normal 211 4" xfId="2398"/>
    <cellStyle name="Normal 211 5" xfId="2399"/>
    <cellStyle name="Normal 211 6" xfId="2400"/>
    <cellStyle name="Normal 212" xfId="2401"/>
    <cellStyle name="Normal 212 2" xfId="2402"/>
    <cellStyle name="Normal 212 2 2" xfId="2403"/>
    <cellStyle name="Normal 212 2 3" xfId="2404"/>
    <cellStyle name="Normal 212 2 4" xfId="2405"/>
    <cellStyle name="Normal 212 3" xfId="2406"/>
    <cellStyle name="Normal 212 3 2" xfId="2407"/>
    <cellStyle name="Normal 212 3 3" xfId="2408"/>
    <cellStyle name="Normal 212 3 4" xfId="2409"/>
    <cellStyle name="Normal 212 4" xfId="2410"/>
    <cellStyle name="Normal 212 5" xfId="2411"/>
    <cellStyle name="Normal 212 6" xfId="2412"/>
    <cellStyle name="Normal 213" xfId="2413"/>
    <cellStyle name="Normal 213 2" xfId="2414"/>
    <cellStyle name="Normal 213 2 2" xfId="2415"/>
    <cellStyle name="Normal 213 2 3" xfId="2416"/>
    <cellStyle name="Normal 213 2 4" xfId="2417"/>
    <cellStyle name="Normal 213 3" xfId="2418"/>
    <cellStyle name="Normal 213 4" xfId="2419"/>
    <cellStyle name="Normal 213 5" xfId="2420"/>
    <cellStyle name="Normal 214" xfId="2421"/>
    <cellStyle name="Normal 214 10" xfId="2422"/>
    <cellStyle name="Normal 214 10 2" xfId="2423"/>
    <cellStyle name="Normal 214 10 3" xfId="2424"/>
    <cellStyle name="Normal 214 10 4" xfId="2425"/>
    <cellStyle name="Normal 214 11" xfId="2426"/>
    <cellStyle name="Normal 214 11 2" xfId="2427"/>
    <cellStyle name="Normal 214 11 3" xfId="2428"/>
    <cellStyle name="Normal 214 11 4" xfId="2429"/>
    <cellStyle name="Normal 214 12" xfId="2430"/>
    <cellStyle name="Normal 214 12 2" xfId="2431"/>
    <cellStyle name="Normal 214 12 3" xfId="2432"/>
    <cellStyle name="Normal 214 12 4" xfId="2433"/>
    <cellStyle name="Normal 214 13" xfId="2434"/>
    <cellStyle name="Normal 214 13 2" xfId="2435"/>
    <cellStyle name="Normal 214 13 3" xfId="2436"/>
    <cellStyle name="Normal 214 13 4" xfId="2437"/>
    <cellStyle name="Normal 214 14" xfId="2438"/>
    <cellStyle name="Normal 214 14 2" xfId="2439"/>
    <cellStyle name="Normal 214 14 3" xfId="2440"/>
    <cellStyle name="Normal 214 14 4" xfId="2441"/>
    <cellStyle name="Normal 214 15" xfId="2442"/>
    <cellStyle name="Normal 214 15 2" xfId="2443"/>
    <cellStyle name="Normal 214 15 3" xfId="2444"/>
    <cellStyle name="Normal 214 15 4" xfId="2445"/>
    <cellStyle name="Normal 214 16" xfId="2446"/>
    <cellStyle name="Normal 214 16 2" xfId="2447"/>
    <cellStyle name="Normal 214 16 3" xfId="2448"/>
    <cellStyle name="Normal 214 16 4" xfId="2449"/>
    <cellStyle name="Normal 214 17" xfId="2450"/>
    <cellStyle name="Normal 214 17 2" xfId="2451"/>
    <cellStyle name="Normal 214 17 3" xfId="2452"/>
    <cellStyle name="Normal 214 17 4" xfId="2453"/>
    <cellStyle name="Normal 214 18" xfId="2454"/>
    <cellStyle name="Normal 214 18 2" xfId="2455"/>
    <cellStyle name="Normal 214 18 3" xfId="2456"/>
    <cellStyle name="Normal 214 18 4" xfId="2457"/>
    <cellStyle name="Normal 214 19" xfId="2458"/>
    <cellStyle name="Normal 214 19 2" xfId="2459"/>
    <cellStyle name="Normal 214 19 3" xfId="2460"/>
    <cellStyle name="Normal 214 19 4" xfId="2461"/>
    <cellStyle name="Normal 214 2" xfId="2462"/>
    <cellStyle name="Normal 214 2 2" xfId="2463"/>
    <cellStyle name="Normal 214 2 3" xfId="2464"/>
    <cellStyle name="Normal 214 2 4" xfId="2465"/>
    <cellStyle name="Normal 214 20" xfId="2466"/>
    <cellStyle name="Normal 214 20 2" xfId="2467"/>
    <cellStyle name="Normal 214 20 3" xfId="2468"/>
    <cellStyle name="Normal 214 20 4" xfId="2469"/>
    <cellStyle name="Normal 214 21" xfId="2470"/>
    <cellStyle name="Normal 214 21 2" xfId="2471"/>
    <cellStyle name="Normal 214 21 3" xfId="2472"/>
    <cellStyle name="Normal 214 21 4" xfId="2473"/>
    <cellStyle name="Normal 214 22" xfId="2474"/>
    <cellStyle name="Normal 214 22 2" xfId="2475"/>
    <cellStyle name="Normal 214 22 3" xfId="2476"/>
    <cellStyle name="Normal 214 22 4" xfId="2477"/>
    <cellStyle name="Normal 214 23" xfId="2478"/>
    <cellStyle name="Normal 214 23 2" xfId="2479"/>
    <cellStyle name="Normal 214 23 3" xfId="2480"/>
    <cellStyle name="Normal 214 23 4" xfId="2481"/>
    <cellStyle name="Normal 214 24" xfId="2482"/>
    <cellStyle name="Normal 214 24 2" xfId="2483"/>
    <cellStyle name="Normal 214 24 3" xfId="2484"/>
    <cellStyle name="Normal 214 24 4" xfId="2485"/>
    <cellStyle name="Normal 214 25" xfId="2486"/>
    <cellStyle name="Normal 214 25 2" xfId="2487"/>
    <cellStyle name="Normal 214 25 3" xfId="2488"/>
    <cellStyle name="Normal 214 25 4" xfId="2489"/>
    <cellStyle name="Normal 214 26" xfId="2490"/>
    <cellStyle name="Normal 214 26 2" xfId="2491"/>
    <cellStyle name="Normal 214 26 3" xfId="2492"/>
    <cellStyle name="Normal 214 26 4" xfId="2493"/>
    <cellStyle name="Normal 214 27" xfId="2494"/>
    <cellStyle name="Normal 214 27 2" xfId="2495"/>
    <cellStyle name="Normal 214 27 3" xfId="2496"/>
    <cellStyle name="Normal 214 27 4" xfId="2497"/>
    <cellStyle name="Normal 214 28" xfId="2498"/>
    <cellStyle name="Normal 214 28 2" xfId="2499"/>
    <cellStyle name="Normal 214 28 3" xfId="2500"/>
    <cellStyle name="Normal 214 28 4" xfId="2501"/>
    <cellStyle name="Normal 214 29" xfId="2502"/>
    <cellStyle name="Normal 214 29 2" xfId="2503"/>
    <cellStyle name="Normal 214 29 3" xfId="2504"/>
    <cellStyle name="Normal 214 29 4" xfId="2505"/>
    <cellStyle name="Normal 214 3" xfId="2506"/>
    <cellStyle name="Normal 214 3 2" xfId="2507"/>
    <cellStyle name="Normal 214 3 3" xfId="2508"/>
    <cellStyle name="Normal 214 3 4" xfId="2509"/>
    <cellStyle name="Normal 214 30" xfId="2510"/>
    <cellStyle name="Normal 214 30 2" xfId="2511"/>
    <cellStyle name="Normal 214 30 3" xfId="2512"/>
    <cellStyle name="Normal 214 30 4" xfId="2513"/>
    <cellStyle name="Normal 214 31" xfId="2514"/>
    <cellStyle name="Normal 214 32" xfId="2515"/>
    <cellStyle name="Normal 214 33" xfId="2516"/>
    <cellStyle name="Normal 214 4" xfId="2517"/>
    <cellStyle name="Normal 214 4 2" xfId="2518"/>
    <cellStyle name="Normal 214 4 3" xfId="2519"/>
    <cellStyle name="Normal 214 4 4" xfId="2520"/>
    <cellStyle name="Normal 214 5" xfId="2521"/>
    <cellStyle name="Normal 214 5 2" xfId="2522"/>
    <cellStyle name="Normal 214 5 3" xfId="2523"/>
    <cellStyle name="Normal 214 5 4" xfId="2524"/>
    <cellStyle name="Normal 214 6" xfId="2525"/>
    <cellStyle name="Normal 214 6 2" xfId="2526"/>
    <cellStyle name="Normal 214 6 3" xfId="2527"/>
    <cellStyle name="Normal 214 6 4" xfId="2528"/>
    <cellStyle name="Normal 214 7" xfId="2529"/>
    <cellStyle name="Normal 214 7 2" xfId="2530"/>
    <cellStyle name="Normal 214 7 3" xfId="2531"/>
    <cellStyle name="Normal 214 7 4" xfId="2532"/>
    <cellStyle name="Normal 214 8" xfId="2533"/>
    <cellStyle name="Normal 214 8 2" xfId="2534"/>
    <cellStyle name="Normal 214 8 3" xfId="2535"/>
    <cellStyle name="Normal 214 8 4" xfId="2536"/>
    <cellStyle name="Normal 214 9" xfId="2537"/>
    <cellStyle name="Normal 214 9 2" xfId="2538"/>
    <cellStyle name="Normal 214 9 3" xfId="2539"/>
    <cellStyle name="Normal 214 9 4" xfId="2540"/>
    <cellStyle name="Normal 215" xfId="2541"/>
    <cellStyle name="Normal 215 2" xfId="2542"/>
    <cellStyle name="Normal 215 2 2" xfId="2543"/>
    <cellStyle name="Normal 215 2 3" xfId="2544"/>
    <cellStyle name="Normal 215 2 4" xfId="2545"/>
    <cellStyle name="Normal 215 3" xfId="2546"/>
    <cellStyle name="Normal 215 3 2" xfId="2547"/>
    <cellStyle name="Normal 215 3 3" xfId="2548"/>
    <cellStyle name="Normal 215 3 4" xfId="2549"/>
    <cellStyle name="Normal 215 4" xfId="2550"/>
    <cellStyle name="Normal 215 5" xfId="2551"/>
    <cellStyle name="Normal 215 6" xfId="2552"/>
    <cellStyle name="Normal 216" xfId="2553"/>
    <cellStyle name="Normal 216 2" xfId="2554"/>
    <cellStyle name="Normal 216 2 2" xfId="2555"/>
    <cellStyle name="Normal 216 2 3" xfId="2556"/>
    <cellStyle name="Normal 216 2 4" xfId="2557"/>
    <cellStyle name="Normal 216 3" xfId="2558"/>
    <cellStyle name="Normal 216 3 2" xfId="2559"/>
    <cellStyle name="Normal 216 3 3" xfId="2560"/>
    <cellStyle name="Normal 216 3 4" xfId="2561"/>
    <cellStyle name="Normal 216 4" xfId="2562"/>
    <cellStyle name="Normal 216 5" xfId="2563"/>
    <cellStyle name="Normal 216 6" xfId="2564"/>
    <cellStyle name="Normal 217" xfId="2565"/>
    <cellStyle name="Normal 217 2" xfId="2566"/>
    <cellStyle name="Normal 217 2 2" xfId="2567"/>
    <cellStyle name="Normal 217 2 3" xfId="2568"/>
    <cellStyle name="Normal 217 2 4" xfId="2569"/>
    <cellStyle name="Normal 217 3" xfId="2570"/>
    <cellStyle name="Normal 217 3 2" xfId="2571"/>
    <cellStyle name="Normal 217 3 3" xfId="2572"/>
    <cellStyle name="Normal 217 3 4" xfId="2573"/>
    <cellStyle name="Normal 217 4" xfId="2574"/>
    <cellStyle name="Normal 217 5" xfId="2575"/>
    <cellStyle name="Normal 217 6" xfId="2576"/>
    <cellStyle name="Normal 218" xfId="2577"/>
    <cellStyle name="Normal 218 2" xfId="2578"/>
    <cellStyle name="Normal 218 2 2" xfId="2579"/>
    <cellStyle name="Normal 218 2 3" xfId="2580"/>
    <cellStyle name="Normal 218 2 4" xfId="2581"/>
    <cellStyle name="Normal 218 3" xfId="2582"/>
    <cellStyle name="Normal 218 4" xfId="2583"/>
    <cellStyle name="Normal 218 5" xfId="2584"/>
    <cellStyle name="Normal 219" xfId="2585"/>
    <cellStyle name="Normal 219 10" xfId="2586"/>
    <cellStyle name="Normal 219 10 2" xfId="2587"/>
    <cellStyle name="Normal 219 10 3" xfId="2588"/>
    <cellStyle name="Normal 219 10 4" xfId="2589"/>
    <cellStyle name="Normal 219 11" xfId="2590"/>
    <cellStyle name="Normal 219 11 2" xfId="2591"/>
    <cellStyle name="Normal 219 11 3" xfId="2592"/>
    <cellStyle name="Normal 219 11 4" xfId="2593"/>
    <cellStyle name="Normal 219 12" xfId="2594"/>
    <cellStyle name="Normal 219 12 2" xfId="2595"/>
    <cellStyle name="Normal 219 12 3" xfId="2596"/>
    <cellStyle name="Normal 219 12 4" xfId="2597"/>
    <cellStyle name="Normal 219 13" xfId="2598"/>
    <cellStyle name="Normal 219 13 2" xfId="2599"/>
    <cellStyle name="Normal 219 13 3" xfId="2600"/>
    <cellStyle name="Normal 219 13 4" xfId="2601"/>
    <cellStyle name="Normal 219 14" xfId="2602"/>
    <cellStyle name="Normal 219 15" xfId="2603"/>
    <cellStyle name="Normal 219 16" xfId="2604"/>
    <cellStyle name="Normal 219 2" xfId="2605"/>
    <cellStyle name="Normal 219 2 2" xfId="2606"/>
    <cellStyle name="Normal 219 2 3" xfId="2607"/>
    <cellStyle name="Normal 219 2 4" xfId="2608"/>
    <cellStyle name="Normal 219 3" xfId="2609"/>
    <cellStyle name="Normal 219 3 2" xfId="2610"/>
    <cellStyle name="Normal 219 3 3" xfId="2611"/>
    <cellStyle name="Normal 219 3 4" xfId="2612"/>
    <cellStyle name="Normal 219 4" xfId="2613"/>
    <cellStyle name="Normal 219 4 2" xfId="2614"/>
    <cellStyle name="Normal 219 4 3" xfId="2615"/>
    <cellStyle name="Normal 219 4 4" xfId="2616"/>
    <cellStyle name="Normal 219 5" xfId="2617"/>
    <cellStyle name="Normal 219 5 2" xfId="2618"/>
    <cellStyle name="Normal 219 5 3" xfId="2619"/>
    <cellStyle name="Normal 219 5 4" xfId="2620"/>
    <cellStyle name="Normal 219 6" xfId="2621"/>
    <cellStyle name="Normal 219 6 2" xfId="2622"/>
    <cellStyle name="Normal 219 6 3" xfId="2623"/>
    <cellStyle name="Normal 219 6 4" xfId="2624"/>
    <cellStyle name="Normal 219 7" xfId="2625"/>
    <cellStyle name="Normal 219 7 2" xfId="2626"/>
    <cellStyle name="Normal 219 7 3" xfId="2627"/>
    <cellStyle name="Normal 219 7 4" xfId="2628"/>
    <cellStyle name="Normal 219 8" xfId="2629"/>
    <cellStyle name="Normal 219 8 2" xfId="2630"/>
    <cellStyle name="Normal 219 8 3" xfId="2631"/>
    <cellStyle name="Normal 219 8 4" xfId="2632"/>
    <cellStyle name="Normal 219 9" xfId="2633"/>
    <cellStyle name="Normal 219 9 2" xfId="2634"/>
    <cellStyle name="Normal 219 9 3" xfId="2635"/>
    <cellStyle name="Normal 219 9 4" xfId="2636"/>
    <cellStyle name="Normal 22" xfId="2637"/>
    <cellStyle name="Normal 22 2" xfId="2638"/>
    <cellStyle name="Normal 22 3" xfId="2639"/>
    <cellStyle name="Normal 22 4" xfId="2640"/>
    <cellStyle name="Normal 220" xfId="2641"/>
    <cellStyle name="Normal 220 2" xfId="2642"/>
    <cellStyle name="Normal 220 2 2" xfId="2643"/>
    <cellStyle name="Normal 220 2 3" xfId="2644"/>
    <cellStyle name="Normal 220 2 4" xfId="2645"/>
    <cellStyle name="Normal 220 3" xfId="2646"/>
    <cellStyle name="Normal 220 4" xfId="2647"/>
    <cellStyle name="Normal 220 5" xfId="2648"/>
    <cellStyle name="Normal 221" xfId="2649"/>
    <cellStyle name="Normal 221 2" xfId="2650"/>
    <cellStyle name="Normal 221 2 2" xfId="2651"/>
    <cellStyle name="Normal 221 2 3" xfId="2652"/>
    <cellStyle name="Normal 221 2 4" xfId="2653"/>
    <cellStyle name="Normal 221 3" xfId="2654"/>
    <cellStyle name="Normal 221 3 2" xfId="2655"/>
    <cellStyle name="Normal 221 3 3" xfId="2656"/>
    <cellStyle name="Normal 221 3 4" xfId="2657"/>
    <cellStyle name="Normal 221 4" xfId="2658"/>
    <cellStyle name="Normal 221 4 2" xfId="2659"/>
    <cellStyle name="Normal 221 4 3" xfId="2660"/>
    <cellStyle name="Normal 221 4 4" xfId="2661"/>
    <cellStyle name="Normal 221 5" xfId="2662"/>
    <cellStyle name="Normal 221 6" xfId="2663"/>
    <cellStyle name="Normal 221 7" xfId="2664"/>
    <cellStyle name="Normal 222" xfId="2665"/>
    <cellStyle name="Normal 222 2" xfId="2666"/>
    <cellStyle name="Normal 222 3" xfId="2667"/>
    <cellStyle name="Normal 222 4" xfId="2668"/>
    <cellStyle name="Normal 223" xfId="2669"/>
    <cellStyle name="Normal 223 2" xfId="2670"/>
    <cellStyle name="Normal 223 2 2" xfId="2671"/>
    <cellStyle name="Normal 223 2 3" xfId="2672"/>
    <cellStyle name="Normal 223 2 4" xfId="2673"/>
    <cellStyle name="Normal 223 3" xfId="2674"/>
    <cellStyle name="Normal 223 4" xfId="2675"/>
    <cellStyle name="Normal 223 5" xfId="2676"/>
    <cellStyle name="Normal 224" xfId="2677"/>
    <cellStyle name="Normal 224 2" xfId="2678"/>
    <cellStyle name="Normal 224 2 2" xfId="2679"/>
    <cellStyle name="Normal 224 2 3" xfId="2680"/>
    <cellStyle name="Normal 224 2 4" xfId="2681"/>
    <cellStyle name="Normal 224 3" xfId="2682"/>
    <cellStyle name="Normal 224 4" xfId="2683"/>
    <cellStyle name="Normal 224 5" xfId="2684"/>
    <cellStyle name="Normal 225" xfId="2685"/>
    <cellStyle name="Normal 225 10" xfId="2686"/>
    <cellStyle name="Normal 225 11" xfId="2687"/>
    <cellStyle name="Normal 225 2" xfId="2688"/>
    <cellStyle name="Normal 225 2 2" xfId="2689"/>
    <cellStyle name="Normal 225 2 3" xfId="2690"/>
    <cellStyle name="Normal 225 2 4" xfId="2691"/>
    <cellStyle name="Normal 225 3" xfId="2692"/>
    <cellStyle name="Normal 225 3 2" xfId="2693"/>
    <cellStyle name="Normal 225 3 3" xfId="2694"/>
    <cellStyle name="Normal 225 3 4" xfId="2695"/>
    <cellStyle name="Normal 225 4" xfId="2696"/>
    <cellStyle name="Normal 225 4 2" xfId="2697"/>
    <cellStyle name="Normal 225 4 3" xfId="2698"/>
    <cellStyle name="Normal 225 4 4" xfId="2699"/>
    <cellStyle name="Normal 225 5" xfId="2700"/>
    <cellStyle name="Normal 225 5 2" xfId="2701"/>
    <cellStyle name="Normal 225 5 3" xfId="2702"/>
    <cellStyle name="Normal 225 5 4" xfId="2703"/>
    <cellStyle name="Normal 225 6" xfId="2704"/>
    <cellStyle name="Normal 225 6 2" xfId="2705"/>
    <cellStyle name="Normal 225 6 3" xfId="2706"/>
    <cellStyle name="Normal 225 6 4" xfId="2707"/>
    <cellStyle name="Normal 225 7" xfId="2708"/>
    <cellStyle name="Normal 225 7 2" xfId="2709"/>
    <cellStyle name="Normal 225 7 3" xfId="2710"/>
    <cellStyle name="Normal 225 7 4" xfId="2711"/>
    <cellStyle name="Normal 225 8" xfId="2712"/>
    <cellStyle name="Normal 225 8 2" xfId="2713"/>
    <cellStyle name="Normal 225 8 3" xfId="2714"/>
    <cellStyle name="Normal 225 8 4" xfId="2715"/>
    <cellStyle name="Normal 225 9" xfId="2716"/>
    <cellStyle name="Normal 226" xfId="2717"/>
    <cellStyle name="Normal 226 2" xfId="2718"/>
    <cellStyle name="Normal 226 2 2" xfId="2719"/>
    <cellStyle name="Normal 226 2 3" xfId="2720"/>
    <cellStyle name="Normal 226 2 4" xfId="2721"/>
    <cellStyle name="Normal 226 3" xfId="2722"/>
    <cellStyle name="Normal 226 3 2" xfId="2723"/>
    <cellStyle name="Normal 226 3 3" xfId="2724"/>
    <cellStyle name="Normal 226 3 4" xfId="2725"/>
    <cellStyle name="Normal 226 4" xfId="2726"/>
    <cellStyle name="Normal 226 5" xfId="2727"/>
    <cellStyle name="Normal 226 6" xfId="2728"/>
    <cellStyle name="Normal 227" xfId="2729"/>
    <cellStyle name="Normal 227 2" xfId="2730"/>
    <cellStyle name="Normal 227 2 2" xfId="2731"/>
    <cellStyle name="Normal 227 2 3" xfId="2732"/>
    <cellStyle name="Normal 227 2 4" xfId="2733"/>
    <cellStyle name="Normal 227 3" xfId="2734"/>
    <cellStyle name="Normal 227 4" xfId="2735"/>
    <cellStyle name="Normal 227 5" xfId="2736"/>
    <cellStyle name="Normal 228" xfId="2737"/>
    <cellStyle name="Normal 228 2" xfId="2738"/>
    <cellStyle name="Normal 228 2 2" xfId="2739"/>
    <cellStyle name="Normal 228 2 3" xfId="2740"/>
    <cellStyle name="Normal 228 2 4" xfId="2741"/>
    <cellStyle name="Normal 228 3" xfId="2742"/>
    <cellStyle name="Normal 228 3 2" xfId="2743"/>
    <cellStyle name="Normal 228 3 3" xfId="2744"/>
    <cellStyle name="Normal 228 3 4" xfId="2745"/>
    <cellStyle name="Normal 228 4" xfId="2746"/>
    <cellStyle name="Normal 228 4 2" xfId="2747"/>
    <cellStyle name="Normal 228 4 3" xfId="2748"/>
    <cellStyle name="Normal 228 4 4" xfId="2749"/>
    <cellStyle name="Normal 228 5" xfId="2750"/>
    <cellStyle name="Normal 228 5 2" xfId="2751"/>
    <cellStyle name="Normal 228 5 3" xfId="2752"/>
    <cellStyle name="Normal 228 5 4" xfId="2753"/>
    <cellStyle name="Normal 228 6" xfId="2754"/>
    <cellStyle name="Normal 228 7" xfId="2755"/>
    <cellStyle name="Normal 228 8" xfId="2756"/>
    <cellStyle name="Normal 229" xfId="2757"/>
    <cellStyle name="Normal 229 2" xfId="2758"/>
    <cellStyle name="Normal 229 2 2" xfId="2759"/>
    <cellStyle name="Normal 229 2 3" xfId="2760"/>
    <cellStyle name="Normal 229 2 4" xfId="2761"/>
    <cellStyle name="Normal 229 3" xfId="2762"/>
    <cellStyle name="Normal 229 3 2" xfId="2763"/>
    <cellStyle name="Normal 229 3 3" xfId="2764"/>
    <cellStyle name="Normal 229 3 4" xfId="2765"/>
    <cellStyle name="Normal 229 4" xfId="2766"/>
    <cellStyle name="Normal 229 4 2" xfId="2767"/>
    <cellStyle name="Normal 229 4 3" xfId="2768"/>
    <cellStyle name="Normal 229 4 4" xfId="2769"/>
    <cellStyle name="Normal 229 5" xfId="2770"/>
    <cellStyle name="Normal 229 6" xfId="2771"/>
    <cellStyle name="Normal 229 7" xfId="2772"/>
    <cellStyle name="Normal 23" xfId="2773"/>
    <cellStyle name="Normal 23 2" xfId="2774"/>
    <cellStyle name="Normal 23 3" xfId="2775"/>
    <cellStyle name="Normal 23 4" xfId="2776"/>
    <cellStyle name="Normal 230" xfId="2777"/>
    <cellStyle name="Normal 230 2" xfId="2778"/>
    <cellStyle name="Normal 230 2 2" xfId="2779"/>
    <cellStyle name="Normal 230 2 3" xfId="2780"/>
    <cellStyle name="Normal 230 2 4" xfId="2781"/>
    <cellStyle name="Normal 230 3" xfId="2782"/>
    <cellStyle name="Normal 230 4" xfId="2783"/>
    <cellStyle name="Normal 230 5" xfId="2784"/>
    <cellStyle name="Normal 231" xfId="2785"/>
    <cellStyle name="Normal 231 2" xfId="2786"/>
    <cellStyle name="Normal 231 2 2" xfId="2787"/>
    <cellStyle name="Normal 231 2 3" xfId="2788"/>
    <cellStyle name="Normal 231 2 4" xfId="2789"/>
    <cellStyle name="Normal 231 3" xfId="2790"/>
    <cellStyle name="Normal 231 4" xfId="2791"/>
    <cellStyle name="Normal 231 5" xfId="2792"/>
    <cellStyle name="Normal 232" xfId="2793"/>
    <cellStyle name="Normal 232 2" xfId="2794"/>
    <cellStyle name="Normal 232 2 2" xfId="2795"/>
    <cellStyle name="Normal 232 2 3" xfId="2796"/>
    <cellStyle name="Normal 232 2 4" xfId="2797"/>
    <cellStyle name="Normal 232 3" xfId="2798"/>
    <cellStyle name="Normal 232 3 2" xfId="2799"/>
    <cellStyle name="Normal 232 3 3" xfId="2800"/>
    <cellStyle name="Normal 232 3 4" xfId="2801"/>
    <cellStyle name="Normal 232 4" xfId="2802"/>
    <cellStyle name="Normal 232 5" xfId="2803"/>
    <cellStyle name="Normal 232 6" xfId="2804"/>
    <cellStyle name="Normal 233" xfId="2805"/>
    <cellStyle name="Normal 233 2" xfId="2806"/>
    <cellStyle name="Normal 233 2 2" xfId="2807"/>
    <cellStyle name="Normal 233 2 3" xfId="2808"/>
    <cellStyle name="Normal 233 2 4" xfId="2809"/>
    <cellStyle name="Normal 233 3" xfId="2810"/>
    <cellStyle name="Normal 233 4" xfId="2811"/>
    <cellStyle name="Normal 233 5" xfId="2812"/>
    <cellStyle name="Normal 234" xfId="2813"/>
    <cellStyle name="Normal 234 10" xfId="2814"/>
    <cellStyle name="Normal 234 10 2" xfId="2815"/>
    <cellStyle name="Normal 234 10 3" xfId="2816"/>
    <cellStyle name="Normal 234 10 4" xfId="2817"/>
    <cellStyle name="Normal 234 11" xfId="2818"/>
    <cellStyle name="Normal 234 11 2" xfId="2819"/>
    <cellStyle name="Normal 234 11 3" xfId="2820"/>
    <cellStyle name="Normal 234 11 4" xfId="2821"/>
    <cellStyle name="Normal 234 12" xfId="2822"/>
    <cellStyle name="Normal 234 13" xfId="2823"/>
    <cellStyle name="Normal 234 14" xfId="2824"/>
    <cellStyle name="Normal 234 2" xfId="2825"/>
    <cellStyle name="Normal 234 2 2" xfId="2826"/>
    <cellStyle name="Normal 234 2 3" xfId="2827"/>
    <cellStyle name="Normal 234 2 4" xfId="2828"/>
    <cellStyle name="Normal 234 3" xfId="2829"/>
    <cellStyle name="Normal 234 3 2" xfId="2830"/>
    <cellStyle name="Normal 234 3 3" xfId="2831"/>
    <cellStyle name="Normal 234 3 4" xfId="2832"/>
    <cellStyle name="Normal 234 4" xfId="2833"/>
    <cellStyle name="Normal 234 4 2" xfId="2834"/>
    <cellStyle name="Normal 234 4 3" xfId="2835"/>
    <cellStyle name="Normal 234 4 4" xfId="2836"/>
    <cellStyle name="Normal 234 5" xfId="2837"/>
    <cellStyle name="Normal 234 5 2" xfId="2838"/>
    <cellStyle name="Normal 234 5 3" xfId="2839"/>
    <cellStyle name="Normal 234 5 4" xfId="2840"/>
    <cellStyle name="Normal 234 6" xfId="2841"/>
    <cellStyle name="Normal 234 6 2" xfId="2842"/>
    <cellStyle name="Normal 234 6 3" xfId="2843"/>
    <cellStyle name="Normal 234 6 4" xfId="2844"/>
    <cellStyle name="Normal 234 7" xfId="2845"/>
    <cellStyle name="Normal 234 7 2" xfId="2846"/>
    <cellStyle name="Normal 234 7 3" xfId="2847"/>
    <cellStyle name="Normal 234 7 4" xfId="2848"/>
    <cellStyle name="Normal 234 8" xfId="2849"/>
    <cellStyle name="Normal 234 8 2" xfId="2850"/>
    <cellStyle name="Normal 234 8 3" xfId="2851"/>
    <cellStyle name="Normal 234 8 4" xfId="2852"/>
    <cellStyle name="Normal 234 9" xfId="2853"/>
    <cellStyle name="Normal 234 9 2" xfId="2854"/>
    <cellStyle name="Normal 234 9 3" xfId="2855"/>
    <cellStyle name="Normal 234 9 4" xfId="2856"/>
    <cellStyle name="Normal 235" xfId="2857"/>
    <cellStyle name="Normal 235 10" xfId="2858"/>
    <cellStyle name="Normal 235 10 2" xfId="2859"/>
    <cellStyle name="Normal 235 10 3" xfId="2860"/>
    <cellStyle name="Normal 235 10 4" xfId="2861"/>
    <cellStyle name="Normal 235 11" xfId="2862"/>
    <cellStyle name="Normal 235 12" xfId="2863"/>
    <cellStyle name="Normal 235 13" xfId="2864"/>
    <cellStyle name="Normal 235 2" xfId="2865"/>
    <cellStyle name="Normal 235 2 2" xfId="2866"/>
    <cellStyle name="Normal 235 2 3" xfId="2867"/>
    <cellStyle name="Normal 235 2 4" xfId="2868"/>
    <cellStyle name="Normal 235 3" xfId="2869"/>
    <cellStyle name="Normal 235 3 2" xfId="2870"/>
    <cellStyle name="Normal 235 3 3" xfId="2871"/>
    <cellStyle name="Normal 235 3 4" xfId="2872"/>
    <cellStyle name="Normal 235 4" xfId="2873"/>
    <cellStyle name="Normal 235 4 2" xfId="2874"/>
    <cellStyle name="Normal 235 4 3" xfId="2875"/>
    <cellStyle name="Normal 235 4 4" xfId="2876"/>
    <cellStyle name="Normal 235 5" xfId="2877"/>
    <cellStyle name="Normal 235 5 2" xfId="2878"/>
    <cellStyle name="Normal 235 5 3" xfId="2879"/>
    <cellStyle name="Normal 235 5 4" xfId="2880"/>
    <cellStyle name="Normal 235 6" xfId="2881"/>
    <cellStyle name="Normal 235 6 2" xfId="2882"/>
    <cellStyle name="Normal 235 6 3" xfId="2883"/>
    <cellStyle name="Normal 235 6 4" xfId="2884"/>
    <cellStyle name="Normal 235 7" xfId="2885"/>
    <cellStyle name="Normal 235 7 2" xfId="2886"/>
    <cellStyle name="Normal 235 7 3" xfId="2887"/>
    <cellStyle name="Normal 235 7 4" xfId="2888"/>
    <cellStyle name="Normal 235 8" xfId="2889"/>
    <cellStyle name="Normal 235 8 2" xfId="2890"/>
    <cellStyle name="Normal 235 8 3" xfId="2891"/>
    <cellStyle name="Normal 235 8 4" xfId="2892"/>
    <cellStyle name="Normal 235 9" xfId="2893"/>
    <cellStyle name="Normal 235 9 2" xfId="2894"/>
    <cellStyle name="Normal 235 9 3" xfId="2895"/>
    <cellStyle name="Normal 235 9 4" xfId="2896"/>
    <cellStyle name="Normal 236" xfId="2897"/>
    <cellStyle name="Normal 236 2" xfId="2898"/>
    <cellStyle name="Normal 236 2 2" xfId="2899"/>
    <cellStyle name="Normal 236 2 3" xfId="2900"/>
    <cellStyle name="Normal 236 2 4" xfId="2901"/>
    <cellStyle name="Normal 236 3" xfId="2902"/>
    <cellStyle name="Normal 236 3 2" xfId="2903"/>
    <cellStyle name="Normal 236 3 3" xfId="2904"/>
    <cellStyle name="Normal 236 3 4" xfId="2905"/>
    <cellStyle name="Normal 236 4" xfId="2906"/>
    <cellStyle name="Normal 236 5" xfId="2907"/>
    <cellStyle name="Normal 236 6" xfId="2908"/>
    <cellStyle name="Normal 237" xfId="2909"/>
    <cellStyle name="Normal 237 2" xfId="2910"/>
    <cellStyle name="Normal 237 2 2" xfId="2911"/>
    <cellStyle name="Normal 237 2 3" xfId="2912"/>
    <cellStyle name="Normal 237 2 4" xfId="2913"/>
    <cellStyle name="Normal 237 3" xfId="2914"/>
    <cellStyle name="Normal 237 4" xfId="2915"/>
    <cellStyle name="Normal 237 5" xfId="2916"/>
    <cellStyle name="Normal 238" xfId="2917"/>
    <cellStyle name="Normal 238 2" xfId="2918"/>
    <cellStyle name="Normal 238 2 2" xfId="2919"/>
    <cellStyle name="Normal 238 2 3" xfId="2920"/>
    <cellStyle name="Normal 238 2 4" xfId="2921"/>
    <cellStyle name="Normal 238 3" xfId="2922"/>
    <cellStyle name="Normal 238 4" xfId="2923"/>
    <cellStyle name="Normal 238 5" xfId="2924"/>
    <cellStyle name="Normal 239" xfId="2925"/>
    <cellStyle name="Normal 239 2" xfId="2926"/>
    <cellStyle name="Normal 239 2 2" xfId="2927"/>
    <cellStyle name="Normal 239 2 3" xfId="2928"/>
    <cellStyle name="Normal 239 2 4" xfId="2929"/>
    <cellStyle name="Normal 239 3" xfId="2930"/>
    <cellStyle name="Normal 239 4" xfId="2931"/>
    <cellStyle name="Normal 239 5" xfId="2932"/>
    <cellStyle name="Normal 24" xfId="2933"/>
    <cellStyle name="Normal 24 2" xfId="2934"/>
    <cellStyle name="Normal 24 3" xfId="2935"/>
    <cellStyle name="Normal 24 4" xfId="2936"/>
    <cellStyle name="Normal 240" xfId="2937"/>
    <cellStyle name="Normal 240 2" xfId="2938"/>
    <cellStyle name="Normal 240 2 2" xfId="2939"/>
    <cellStyle name="Normal 240 2 3" xfId="2940"/>
    <cellStyle name="Normal 240 2 4" xfId="2941"/>
    <cellStyle name="Normal 240 3" xfId="2942"/>
    <cellStyle name="Normal 240 3 2" xfId="2943"/>
    <cellStyle name="Normal 240 3 3" xfId="2944"/>
    <cellStyle name="Normal 240 3 4" xfId="2945"/>
    <cellStyle name="Normal 240 4" xfId="2946"/>
    <cellStyle name="Normal 240 5" xfId="2947"/>
    <cellStyle name="Normal 240 6" xfId="2948"/>
    <cellStyle name="Normal 241" xfId="2949"/>
    <cellStyle name="Normal 241 2" xfId="2950"/>
    <cellStyle name="Normal 241 2 2" xfId="2951"/>
    <cellStyle name="Normal 241 2 3" xfId="2952"/>
    <cellStyle name="Normal 241 2 4" xfId="2953"/>
    <cellStyle name="Normal 241 3" xfId="2954"/>
    <cellStyle name="Normal 241 4" xfId="2955"/>
    <cellStyle name="Normal 241 5" xfId="2956"/>
    <cellStyle name="Normal 242" xfId="2957"/>
    <cellStyle name="Normal 242 2" xfId="2958"/>
    <cellStyle name="Normal 242 2 2" xfId="2959"/>
    <cellStyle name="Normal 242 2 3" xfId="2960"/>
    <cellStyle name="Normal 242 2 4" xfId="2961"/>
    <cellStyle name="Normal 242 3" xfId="2962"/>
    <cellStyle name="Normal 242 3 2" xfId="2963"/>
    <cellStyle name="Normal 242 3 3" xfId="2964"/>
    <cellStyle name="Normal 242 3 4" xfId="2965"/>
    <cellStyle name="Normal 242 4" xfId="2966"/>
    <cellStyle name="Normal 242 5" xfId="2967"/>
    <cellStyle name="Normal 242 6" xfId="2968"/>
    <cellStyle name="Normal 243" xfId="2969"/>
    <cellStyle name="Normal 243 2" xfId="2970"/>
    <cellStyle name="Normal 243 2 2" xfId="2971"/>
    <cellStyle name="Normal 243 2 3" xfId="2972"/>
    <cellStyle name="Normal 243 2 4" xfId="2973"/>
    <cellStyle name="Normal 243 3" xfId="2974"/>
    <cellStyle name="Normal 243 4" xfId="2975"/>
    <cellStyle name="Normal 243 5" xfId="2976"/>
    <cellStyle name="Normal 244" xfId="2977"/>
    <cellStyle name="Normal 244 2" xfId="2978"/>
    <cellStyle name="Normal 244 2 2" xfId="2979"/>
    <cellStyle name="Normal 244 2 3" xfId="2980"/>
    <cellStyle name="Normal 244 2 4" xfId="2981"/>
    <cellStyle name="Normal 244 3" xfId="2982"/>
    <cellStyle name="Normal 244 4" xfId="2983"/>
    <cellStyle name="Normal 244 5" xfId="2984"/>
    <cellStyle name="Normal 245" xfId="2985"/>
    <cellStyle name="Normal 245 2" xfId="2986"/>
    <cellStyle name="Normal 245 3" xfId="2987"/>
    <cellStyle name="Normal 245 4" xfId="2988"/>
    <cellStyle name="Normal 246" xfId="2989"/>
    <cellStyle name="Normal 246 2" xfId="2990"/>
    <cellStyle name="Normal 246 3" xfId="2991"/>
    <cellStyle name="Normal 246 4" xfId="2992"/>
    <cellStyle name="Normal 247" xfId="2993"/>
    <cellStyle name="Normal 247 2" xfId="2994"/>
    <cellStyle name="Normal 247 3" xfId="2995"/>
    <cellStyle name="Normal 247 4" xfId="2996"/>
    <cellStyle name="Normal 248" xfId="2997"/>
    <cellStyle name="Normal 248 2" xfId="2998"/>
    <cellStyle name="Normal 248 3" xfId="2999"/>
    <cellStyle name="Normal 248 4" xfId="3000"/>
    <cellStyle name="Normal 249" xfId="3001"/>
    <cellStyle name="Normal 249 2" xfId="3002"/>
    <cellStyle name="Normal 249 3" xfId="3003"/>
    <cellStyle name="Normal 249 4" xfId="3004"/>
    <cellStyle name="Normal 25" xfId="3005"/>
    <cellStyle name="Normal 25 2" xfId="3006"/>
    <cellStyle name="Normal 25 3" xfId="3007"/>
    <cellStyle name="Normal 25 4" xfId="3008"/>
    <cellStyle name="Normal 250" xfId="3009"/>
    <cellStyle name="Normal 250 2" xfId="3010"/>
    <cellStyle name="Normal 250 3" xfId="3011"/>
    <cellStyle name="Normal 250 4" xfId="3012"/>
    <cellStyle name="Normal 251" xfId="3013"/>
    <cellStyle name="Normal 251 2" xfId="3014"/>
    <cellStyle name="Normal 251 3" xfId="3015"/>
    <cellStyle name="Normal 251 4" xfId="3016"/>
    <cellStyle name="Normal 252" xfId="3017"/>
    <cellStyle name="Normal 252 2" xfId="3018"/>
    <cellStyle name="Normal 252 3" xfId="3019"/>
    <cellStyle name="Normal 252 4" xfId="3020"/>
    <cellStyle name="Normal 253" xfId="3021"/>
    <cellStyle name="Normal 253 2" xfId="3022"/>
    <cellStyle name="Normal 253 3" xfId="3023"/>
    <cellStyle name="Normal 253 4" xfId="3024"/>
    <cellStyle name="Normal 254" xfId="3025"/>
    <cellStyle name="Normal 254 2" xfId="3026"/>
    <cellStyle name="Normal 254 3" xfId="3027"/>
    <cellStyle name="Normal 254 4" xfId="3028"/>
    <cellStyle name="Normal 255" xfId="3029"/>
    <cellStyle name="Normal 255 2" xfId="3030"/>
    <cellStyle name="Normal 255 3" xfId="3031"/>
    <cellStyle name="Normal 255 4" xfId="3032"/>
    <cellStyle name="Normal 256" xfId="3033"/>
    <cellStyle name="Normal 256 2" xfId="3034"/>
    <cellStyle name="Normal 256 3" xfId="3035"/>
    <cellStyle name="Normal 256 4" xfId="3036"/>
    <cellStyle name="Normal 26" xfId="3037"/>
    <cellStyle name="Normal 26 2" xfId="3038"/>
    <cellStyle name="Normal 26 3" xfId="3039"/>
    <cellStyle name="Normal 26 4" xfId="3040"/>
    <cellStyle name="Normal 27" xfId="3041"/>
    <cellStyle name="Normal 27 2" xfId="3042"/>
    <cellStyle name="Normal 27 3" xfId="3043"/>
    <cellStyle name="Normal 27 4" xfId="3044"/>
    <cellStyle name="Normal 28" xfId="3045"/>
    <cellStyle name="Normal 28 2" xfId="3046"/>
    <cellStyle name="Normal 28 3" xfId="3047"/>
    <cellStyle name="Normal 28 4" xfId="3048"/>
    <cellStyle name="Normal 29" xfId="3049"/>
    <cellStyle name="Normal 29 2" xfId="3050"/>
    <cellStyle name="Normal 29 3" xfId="3051"/>
    <cellStyle name="Normal 29 4" xfId="3052"/>
    <cellStyle name="Normal 3" xfId="3053"/>
    <cellStyle name="Normal 3 2" xfId="3054"/>
    <cellStyle name="Normal 3 2 2" xfId="3055"/>
    <cellStyle name="Normal 3 2 2 2" xfId="3056"/>
    <cellStyle name="Normal 3 2 2 3" xfId="3057"/>
    <cellStyle name="Normal 3 2 2 4" xfId="3058"/>
    <cellStyle name="Normal 3 2 3" xfId="3059"/>
    <cellStyle name="Normal 3 2 3 2" xfId="3060"/>
    <cellStyle name="Normal 3 2 3 3" xfId="3061"/>
    <cellStyle name="Normal 3 2 3 4" xfId="3062"/>
    <cellStyle name="Normal 3 2 4" xfId="3063"/>
    <cellStyle name="Normal 3 2 4 2" xfId="3064"/>
    <cellStyle name="Normal 3 2 4 3" xfId="3065"/>
    <cellStyle name="Normal 3 2 4 4" xfId="3066"/>
    <cellStyle name="Normal 3 2 5" xfId="3067"/>
    <cellStyle name="Normal 3 2 6" xfId="3068"/>
    <cellStyle name="Normal 3 2 7" xfId="3069"/>
    <cellStyle name="Normal 3 3" xfId="3070"/>
    <cellStyle name="Normal 3 3 2" xfId="3071"/>
    <cellStyle name="Normal 3 3 3" xfId="3072"/>
    <cellStyle name="Normal 3 3 4" xfId="3073"/>
    <cellStyle name="Normal 3 4" xfId="3074"/>
    <cellStyle name="Normal 3 4 2" xfId="3075"/>
    <cellStyle name="Normal 3 4 3" xfId="3076"/>
    <cellStyle name="Normal 3 4 4" xfId="3077"/>
    <cellStyle name="Normal 3 5" xfId="3078"/>
    <cellStyle name="Normal 3 5 2" xfId="3079"/>
    <cellStyle name="Normal 3 5 3" xfId="3080"/>
    <cellStyle name="Normal 3 5 4" xfId="3081"/>
    <cellStyle name="Normal 3 6" xfId="3082"/>
    <cellStyle name="Normal 3 6 2" xfId="3083"/>
    <cellStyle name="Normal 30" xfId="3084"/>
    <cellStyle name="Normal 30 2" xfId="3085"/>
    <cellStyle name="Normal 30 3" xfId="3086"/>
    <cellStyle name="Normal 30 4" xfId="3087"/>
    <cellStyle name="Normal 31" xfId="3088"/>
    <cellStyle name="Normal 31 2" xfId="3089"/>
    <cellStyle name="Normal 31 3" xfId="3090"/>
    <cellStyle name="Normal 31 4" xfId="3091"/>
    <cellStyle name="Normal 32" xfId="3092"/>
    <cellStyle name="Normal 32 2" xfId="3093"/>
    <cellStyle name="Normal 32 3" xfId="3094"/>
    <cellStyle name="Normal 32 4" xfId="3095"/>
    <cellStyle name="Normal 33" xfId="3096"/>
    <cellStyle name="Normal 33 2" xfId="3097"/>
    <cellStyle name="Normal 33 3" xfId="3098"/>
    <cellStyle name="Normal 33 4" xfId="3099"/>
    <cellStyle name="Normal 34" xfId="3100"/>
    <cellStyle name="Normal 34 2" xfId="3101"/>
    <cellStyle name="Normal 34 3" xfId="3102"/>
    <cellStyle name="Normal 34 4" xfId="3103"/>
    <cellStyle name="Normal 35" xfId="3104"/>
    <cellStyle name="Normal 35 2" xfId="3105"/>
    <cellStyle name="Normal 35 3" xfId="3106"/>
    <cellStyle name="Normal 35 4" xfId="3107"/>
    <cellStyle name="Normal 36" xfId="3108"/>
    <cellStyle name="Normal 36 2" xfId="3109"/>
    <cellStyle name="Normal 36 3" xfId="3110"/>
    <cellStyle name="Normal 36 4" xfId="3111"/>
    <cellStyle name="Normal 37" xfId="3112"/>
    <cellStyle name="Normal 37 2" xfId="3113"/>
    <cellStyle name="Normal 37 3" xfId="3114"/>
    <cellStyle name="Normal 37 4" xfId="3115"/>
    <cellStyle name="Normal 38" xfId="3116"/>
    <cellStyle name="Normal 38 2" xfId="3117"/>
    <cellStyle name="Normal 38 3" xfId="3118"/>
    <cellStyle name="Normal 38 4" xfId="3119"/>
    <cellStyle name="Normal 39" xfId="3120"/>
    <cellStyle name="Normal 39 2" xfId="3121"/>
    <cellStyle name="Normal 39 3" xfId="3122"/>
    <cellStyle name="Normal 39 4" xfId="3123"/>
    <cellStyle name="Normal 4" xfId="3433"/>
    <cellStyle name="Normal 4 2" xfId="3124"/>
    <cellStyle name="Normal 4 2 2" xfId="3125"/>
    <cellStyle name="Normal 4 2 2 2" xfId="3126"/>
    <cellStyle name="Normal 4 2 2 3" xfId="3127"/>
    <cellStyle name="Normal 4 2 2 4" xfId="3128"/>
    <cellStyle name="Normal 4 2 3" xfId="3129"/>
    <cellStyle name="Normal 4 2 3 2" xfId="3130"/>
    <cellStyle name="Normal 4 2 3 3" xfId="3131"/>
    <cellStyle name="Normal 4 2 3 4" xfId="3132"/>
    <cellStyle name="Normal 4 2 4" xfId="3133"/>
    <cellStyle name="Normal 4 2 4 2" xfId="3134"/>
    <cellStyle name="Normal 4 2 4 3" xfId="3135"/>
    <cellStyle name="Normal 4 2 4 4" xfId="3136"/>
    <cellStyle name="Normal 4 2 5" xfId="3137"/>
    <cellStyle name="Normal 4 2 6" xfId="3138"/>
    <cellStyle name="Normal 4 2 7" xfId="3139"/>
    <cellStyle name="Normal 4 3" xfId="3140"/>
    <cellStyle name="Normal 4 3 2" xfId="3141"/>
    <cellStyle name="Normal 4 3 3" xfId="3142"/>
    <cellStyle name="Normal 4 3 4" xfId="3143"/>
    <cellStyle name="Normal 4 4" xfId="3144"/>
    <cellStyle name="Normal 4 4 2" xfId="3145"/>
    <cellStyle name="Normal 4 4 3" xfId="3146"/>
    <cellStyle name="Normal 4 4 4" xfId="3147"/>
    <cellStyle name="Normal 4 5" xfId="3148"/>
    <cellStyle name="Normal 4 5 2" xfId="3149"/>
    <cellStyle name="Normal 4 5 3" xfId="3150"/>
    <cellStyle name="Normal 4 5 4" xfId="3151"/>
    <cellStyle name="Normal 40" xfId="3152"/>
    <cellStyle name="Normal 40 2" xfId="3153"/>
    <cellStyle name="Normal 40 3" xfId="3154"/>
    <cellStyle name="Normal 40 4" xfId="3155"/>
    <cellStyle name="Normal 41" xfId="3156"/>
    <cellStyle name="Normal 41 2" xfId="3157"/>
    <cellStyle name="Normal 41 3" xfId="3158"/>
    <cellStyle name="Normal 41 4" xfId="3159"/>
    <cellStyle name="Normal 42" xfId="3160"/>
    <cellStyle name="Normal 42 2" xfId="3161"/>
    <cellStyle name="Normal 42 3" xfId="3162"/>
    <cellStyle name="Normal 42 4" xfId="3163"/>
    <cellStyle name="Normal 43" xfId="3164"/>
    <cellStyle name="Normal 43 2" xfId="3165"/>
    <cellStyle name="Normal 43 3" xfId="3166"/>
    <cellStyle name="Normal 43 4" xfId="3167"/>
    <cellStyle name="Normal 44" xfId="3168"/>
    <cellStyle name="Normal 44 2" xfId="3169"/>
    <cellStyle name="Normal 44 3" xfId="3170"/>
    <cellStyle name="Normal 44 4" xfId="3171"/>
    <cellStyle name="Normal 45" xfId="3172"/>
    <cellStyle name="Normal 45 2" xfId="3173"/>
    <cellStyle name="Normal 45 3" xfId="3174"/>
    <cellStyle name="Normal 45 4" xfId="3175"/>
    <cellStyle name="Normal 46" xfId="3176"/>
    <cellStyle name="Normal 46 2" xfId="3177"/>
    <cellStyle name="Normal 46 3" xfId="3178"/>
    <cellStyle name="Normal 46 4" xfId="3179"/>
    <cellStyle name="Normal 47" xfId="3180"/>
    <cellStyle name="Normal 47 2" xfId="3181"/>
    <cellStyle name="Normal 47 3" xfId="3182"/>
    <cellStyle name="Normal 47 4" xfId="3183"/>
    <cellStyle name="Normal 48" xfId="3184"/>
    <cellStyle name="Normal 48 2" xfId="3185"/>
    <cellStyle name="Normal 48 3" xfId="3186"/>
    <cellStyle name="Normal 48 4" xfId="3187"/>
    <cellStyle name="Normal 49" xfId="3188"/>
    <cellStyle name="Normal 49 2" xfId="3189"/>
    <cellStyle name="Normal 49 3" xfId="3190"/>
    <cellStyle name="Normal 49 4" xfId="3191"/>
    <cellStyle name="Normal 5 2" xfId="3192"/>
    <cellStyle name="Normal 5 2 2" xfId="3193"/>
    <cellStyle name="Normal 5 2 3" xfId="3194"/>
    <cellStyle name="Normal 5 2 4" xfId="3195"/>
    <cellStyle name="Normal 5 3" xfId="3196"/>
    <cellStyle name="Normal 5 3 2" xfId="3197"/>
    <cellStyle name="Normal 5 3 3" xfId="3198"/>
    <cellStyle name="Normal 5 3 4" xfId="3199"/>
    <cellStyle name="Normal 5 4" xfId="3200"/>
    <cellStyle name="Normal 50" xfId="3201"/>
    <cellStyle name="Normal 50 2" xfId="3202"/>
    <cellStyle name="Normal 50 3" xfId="3203"/>
    <cellStyle name="Normal 50 4" xfId="3204"/>
    <cellStyle name="Normal 51" xfId="3205"/>
    <cellStyle name="Normal 51 2" xfId="3206"/>
    <cellStyle name="Normal 51 3" xfId="3207"/>
    <cellStyle name="Normal 51 4" xfId="3208"/>
    <cellStyle name="Normal 52" xfId="3209"/>
    <cellStyle name="Normal 52 2" xfId="3210"/>
    <cellStyle name="Normal 52 3" xfId="3211"/>
    <cellStyle name="Normal 52 4" xfId="3212"/>
    <cellStyle name="Normal 53" xfId="3213"/>
    <cellStyle name="Normal 53 2" xfId="3214"/>
    <cellStyle name="Normal 53 3" xfId="3215"/>
    <cellStyle name="Normal 53 4" xfId="3216"/>
    <cellStyle name="Normal 54" xfId="3217"/>
    <cellStyle name="Normal 54 2" xfId="3218"/>
    <cellStyle name="Normal 54 3" xfId="3219"/>
    <cellStyle name="Normal 54 4" xfId="3220"/>
    <cellStyle name="Normal 55" xfId="3221"/>
    <cellStyle name="Normal 55 2" xfId="3222"/>
    <cellStyle name="Normal 55 3" xfId="3223"/>
    <cellStyle name="Normal 55 4" xfId="3224"/>
    <cellStyle name="Normal 56" xfId="3225"/>
    <cellStyle name="Normal 56 2" xfId="3226"/>
    <cellStyle name="Normal 56 3" xfId="3227"/>
    <cellStyle name="Normal 56 4" xfId="3228"/>
    <cellStyle name="Normal 57" xfId="3229"/>
    <cellStyle name="Normal 57 2" xfId="3230"/>
    <cellStyle name="Normal 57 3" xfId="3231"/>
    <cellStyle name="Normal 57 4" xfId="3232"/>
    <cellStyle name="Normal 58" xfId="3233"/>
    <cellStyle name="Normal 58 2" xfId="3234"/>
    <cellStyle name="Normal 58 3" xfId="3235"/>
    <cellStyle name="Normal 58 4" xfId="3236"/>
    <cellStyle name="Normal 59" xfId="3237"/>
    <cellStyle name="Normal 59 2" xfId="3238"/>
    <cellStyle name="Normal 59 3" xfId="3239"/>
    <cellStyle name="Normal 59 4" xfId="3240"/>
    <cellStyle name="Normal 6" xfId="3241"/>
    <cellStyle name="Normal 6 2" xfId="3242"/>
    <cellStyle name="Normal 6 2 2" xfId="3243"/>
    <cellStyle name="Normal 6 2 3" xfId="3244"/>
    <cellStyle name="Normal 6 2 4" xfId="3245"/>
    <cellStyle name="Normal 6 3" xfId="3246"/>
    <cellStyle name="Normal 6 3 2" xfId="3247"/>
    <cellStyle name="Normal 6 3 3" xfId="3248"/>
    <cellStyle name="Normal 6 3 4" xfId="3249"/>
    <cellStyle name="Normal 6 4" xfId="3250"/>
    <cellStyle name="Normal 6 4 2" xfId="3251"/>
    <cellStyle name="Normal 6 4 3" xfId="3252"/>
    <cellStyle name="Normal 6 4 4" xfId="3253"/>
    <cellStyle name="Normal 60" xfId="3254"/>
    <cellStyle name="Normal 60 2" xfId="3255"/>
    <cellStyle name="Normal 60 3" xfId="3256"/>
    <cellStyle name="Normal 60 4" xfId="3257"/>
    <cellStyle name="Normal 61" xfId="3258"/>
    <cellStyle name="Normal 61 2" xfId="3259"/>
    <cellStyle name="Normal 61 3" xfId="3260"/>
    <cellStyle name="Normal 61 4" xfId="3261"/>
    <cellStyle name="Normal 62" xfId="3262"/>
    <cellStyle name="Normal 62 2" xfId="3263"/>
    <cellStyle name="Normal 62 3" xfId="3264"/>
    <cellStyle name="Normal 62 4" xfId="3265"/>
    <cellStyle name="Normal 63" xfId="3266"/>
    <cellStyle name="Normal 63 2" xfId="3267"/>
    <cellStyle name="Normal 63 3" xfId="3268"/>
    <cellStyle name="Normal 63 4" xfId="3269"/>
    <cellStyle name="Normal 64" xfId="3270"/>
    <cellStyle name="Normal 64 2" xfId="3271"/>
    <cellStyle name="Normal 64 3" xfId="3272"/>
    <cellStyle name="Normal 64 4" xfId="3273"/>
    <cellStyle name="Normal 65" xfId="3274"/>
    <cellStyle name="Normal 65 2" xfId="3275"/>
    <cellStyle name="Normal 65 3" xfId="3276"/>
    <cellStyle name="Normal 65 4" xfId="3277"/>
    <cellStyle name="Normal 66" xfId="3278"/>
    <cellStyle name="Normal 66 2" xfId="3279"/>
    <cellStyle name="Normal 66 3" xfId="3280"/>
    <cellStyle name="Normal 66 4" xfId="3281"/>
    <cellStyle name="Normal 67" xfId="3282"/>
    <cellStyle name="Normal 67 2" xfId="3283"/>
    <cellStyle name="Normal 67 3" xfId="3284"/>
    <cellStyle name="Normal 67 4" xfId="3285"/>
    <cellStyle name="Normal 68" xfId="3286"/>
    <cellStyle name="Normal 68 2" xfId="3287"/>
    <cellStyle name="Normal 68 3" xfId="3288"/>
    <cellStyle name="Normal 68 4" xfId="3289"/>
    <cellStyle name="Normal 69" xfId="3290"/>
    <cellStyle name="Normal 69 2" xfId="3291"/>
    <cellStyle name="Normal 69 3" xfId="3292"/>
    <cellStyle name="Normal 69 4" xfId="3293"/>
    <cellStyle name="Normal 7 2" xfId="3294"/>
    <cellStyle name="Normal 7 2 2" xfId="3295"/>
    <cellStyle name="Normal 7 2 3" xfId="3296"/>
    <cellStyle name="Normal 7 2 4" xfId="3297"/>
    <cellStyle name="Normal 70" xfId="3298"/>
    <cellStyle name="Normal 70 2" xfId="3299"/>
    <cellStyle name="Normal 70 3" xfId="3300"/>
    <cellStyle name="Normal 70 4" xfId="3301"/>
    <cellStyle name="Normal 71" xfId="3302"/>
    <cellStyle name="Normal 71 2" xfId="3303"/>
    <cellStyle name="Normal 71 3" xfId="3304"/>
    <cellStyle name="Normal 71 4" xfId="3305"/>
    <cellStyle name="Normal 72" xfId="3306"/>
    <cellStyle name="Normal 72 2" xfId="3307"/>
    <cellStyle name="Normal 72 3" xfId="3308"/>
    <cellStyle name="Normal 72 4" xfId="3309"/>
    <cellStyle name="Normal 73" xfId="3310"/>
    <cellStyle name="Normal 73 2" xfId="3311"/>
    <cellStyle name="Normal 73 3" xfId="3312"/>
    <cellStyle name="Normal 73 4" xfId="3313"/>
    <cellStyle name="Normal 74" xfId="3314"/>
    <cellStyle name="Normal 74 2" xfId="3315"/>
    <cellStyle name="Normal 74 3" xfId="3316"/>
    <cellStyle name="Normal 74 4" xfId="3317"/>
    <cellStyle name="Normal 75" xfId="3318"/>
    <cellStyle name="Normal 75 2" xfId="3319"/>
    <cellStyle name="Normal 75 3" xfId="3320"/>
    <cellStyle name="Normal 75 4" xfId="3321"/>
    <cellStyle name="Normal 76" xfId="3322"/>
    <cellStyle name="Normal 76 2" xfId="3323"/>
    <cellStyle name="Normal 76 3" xfId="3324"/>
    <cellStyle name="Normal 76 4" xfId="3325"/>
    <cellStyle name="Normal 77" xfId="3326"/>
    <cellStyle name="Normal 77 2" xfId="3327"/>
    <cellStyle name="Normal 77 3" xfId="3328"/>
    <cellStyle name="Normal 77 4" xfId="3329"/>
    <cellStyle name="Normal 78" xfId="3330"/>
    <cellStyle name="Normal 78 2" xfId="3331"/>
    <cellStyle name="Normal 78 3" xfId="3332"/>
    <cellStyle name="Normal 78 4" xfId="3333"/>
    <cellStyle name="Normal 79" xfId="3334"/>
    <cellStyle name="Normal 79 2" xfId="3335"/>
    <cellStyle name="Normal 79 3" xfId="3336"/>
    <cellStyle name="Normal 79 4" xfId="3337"/>
    <cellStyle name="Normal 8" xfId="3338"/>
    <cellStyle name="Normal 8 2" xfId="3339"/>
    <cellStyle name="Normal 8 2 2" xfId="3340"/>
    <cellStyle name="Normal 8 2 3" xfId="3341"/>
    <cellStyle name="Normal 8 2 4" xfId="3342"/>
    <cellStyle name="Normal 80" xfId="3343"/>
    <cellStyle name="Normal 80 2" xfId="3344"/>
    <cellStyle name="Normal 80 3" xfId="3345"/>
    <cellStyle name="Normal 80 4" xfId="3346"/>
    <cellStyle name="Normal 81" xfId="3347"/>
    <cellStyle name="Normal 81 2" xfId="3348"/>
    <cellStyle name="Normal 81 3" xfId="3349"/>
    <cellStyle name="Normal 81 4" xfId="3350"/>
    <cellStyle name="Normal 82" xfId="3351"/>
    <cellStyle name="Normal 82 2" xfId="3352"/>
    <cellStyle name="Normal 82 3" xfId="3353"/>
    <cellStyle name="Normal 82 4" xfId="3354"/>
    <cellStyle name="Normal 83" xfId="3355"/>
    <cellStyle name="Normal 83 2" xfId="3356"/>
    <cellStyle name="Normal 83 3" xfId="3357"/>
    <cellStyle name="Normal 83 4" xfId="3358"/>
    <cellStyle name="Normal 84" xfId="3359"/>
    <cellStyle name="Normal 84 2" xfId="3360"/>
    <cellStyle name="Normal 84 3" xfId="3361"/>
    <cellStyle name="Normal 84 4" xfId="3362"/>
    <cellStyle name="Normal 85" xfId="3363"/>
    <cellStyle name="Normal 85 2" xfId="3364"/>
    <cellStyle name="Normal 85 3" xfId="3365"/>
    <cellStyle name="Normal 85 4" xfId="3366"/>
    <cellStyle name="Normal 86" xfId="3367"/>
    <cellStyle name="Normal 86 2" xfId="3368"/>
    <cellStyle name="Normal 86 3" xfId="3369"/>
    <cellStyle name="Normal 86 4" xfId="3370"/>
    <cellStyle name="Normal 87" xfId="3371"/>
    <cellStyle name="Normal 87 2" xfId="3372"/>
    <cellStyle name="Normal 87 3" xfId="3373"/>
    <cellStyle name="Normal 87 4" xfId="3374"/>
    <cellStyle name="Normal 88" xfId="3375"/>
    <cellStyle name="Normal 88 2" xfId="3376"/>
    <cellStyle name="Normal 88 3" xfId="3377"/>
    <cellStyle name="Normal 88 4" xfId="3378"/>
    <cellStyle name="Normal 89" xfId="3379"/>
    <cellStyle name="Normal 89 2" xfId="3380"/>
    <cellStyle name="Normal 89 3" xfId="3381"/>
    <cellStyle name="Normal 89 4" xfId="3382"/>
    <cellStyle name="Normal 9 2" xfId="3383"/>
    <cellStyle name="Normal 9 2 2" xfId="3384"/>
    <cellStyle name="Normal 9 2 3" xfId="3385"/>
    <cellStyle name="Normal 9 2 4" xfId="3386"/>
    <cellStyle name="Normal 90" xfId="3387"/>
    <cellStyle name="Normal 90 2" xfId="3388"/>
    <cellStyle name="Normal 90 3" xfId="3389"/>
    <cellStyle name="Normal 90 4" xfId="3390"/>
    <cellStyle name="Normal 91" xfId="3391"/>
    <cellStyle name="Normal 91 2" xfId="3392"/>
    <cellStyle name="Normal 91 3" xfId="3393"/>
    <cellStyle name="Normal 91 4" xfId="3394"/>
    <cellStyle name="Normal 92" xfId="3395"/>
    <cellStyle name="Normal 92 2" xfId="3396"/>
    <cellStyle name="Normal 92 3" xfId="3397"/>
    <cellStyle name="Normal 92 4" xfId="3398"/>
    <cellStyle name="Normal 93" xfId="3399"/>
    <cellStyle name="Normal 93 2" xfId="3400"/>
    <cellStyle name="Normal 93 3" xfId="3401"/>
    <cellStyle name="Normal 93 4" xfId="3402"/>
    <cellStyle name="Normal 94" xfId="3403"/>
    <cellStyle name="Normal 94 2" xfId="3404"/>
    <cellStyle name="Normal 94 3" xfId="3405"/>
    <cellStyle name="Normal 94 4" xfId="3406"/>
    <cellStyle name="Normal 95" xfId="3407"/>
    <cellStyle name="Normal 95 2" xfId="3408"/>
    <cellStyle name="Normal 95 3" xfId="3409"/>
    <cellStyle name="Normal 95 4" xfId="3410"/>
    <cellStyle name="Normal 96" xfId="3411"/>
    <cellStyle name="Normal 96 2" xfId="3412"/>
    <cellStyle name="Normal 96 3" xfId="3413"/>
    <cellStyle name="Normal 96 4" xfId="3414"/>
    <cellStyle name="Normal 97" xfId="3415"/>
    <cellStyle name="Normal 97 2" xfId="3416"/>
    <cellStyle name="Normal 97 3" xfId="3417"/>
    <cellStyle name="Normal 97 4" xfId="3418"/>
    <cellStyle name="Normal 98" xfId="3419"/>
    <cellStyle name="Normal 98 2" xfId="3420"/>
    <cellStyle name="Normal 98 3" xfId="3421"/>
    <cellStyle name="Normal 98 4" xfId="3422"/>
    <cellStyle name="Normal 99" xfId="3423"/>
    <cellStyle name="Normal 99 2" xfId="3424"/>
    <cellStyle name="Normal 99 3" xfId="3425"/>
    <cellStyle name="Normal 99 4" xfId="3426"/>
    <cellStyle name="Normal_ASTRA" xfId="3432"/>
    <cellStyle name="Título 5" xfId="3427"/>
    <cellStyle name="Título 5 2" xfId="3428"/>
    <cellStyle name="Título 5 3" xfId="3429"/>
    <cellStyle name="Título 5 4" xfId="343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D9D9D9"/>
      <rgbColor rgb="FFFF00FF"/>
      <rgbColor rgb="FF00FFFF"/>
      <rgbColor rgb="FF800000"/>
      <rgbColor rgb="FF008000"/>
      <rgbColor rgb="FF000080"/>
      <rgbColor rgb="FF808000"/>
      <rgbColor rgb="FF800080"/>
      <rgbColor rgb="FF00B050"/>
      <rgbColor rgb="FFC0C0C0"/>
      <rgbColor rgb="FF808080"/>
      <rgbColor rgb="FFD99694"/>
      <rgbColor rgb="FF7030A0"/>
      <rgbColor rgb="FFF2DCD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7E4B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484982</xdr:colOff>
      <xdr:row>0</xdr:row>
      <xdr:rowOff>69851</xdr:rowOff>
    </xdr:from>
    <xdr:to>
      <xdr:col>3</xdr:col>
      <xdr:colOff>31750</xdr:colOff>
      <xdr:row>0</xdr:row>
      <xdr:rowOff>1101726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4982" y="69851"/>
          <a:ext cx="1679575" cy="1031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K134"/>
  <sheetViews>
    <sheetView tabSelected="1" view="pageBreakPreview" topLeftCell="B1" zoomScaleNormal="100" zoomScaleSheetLayoutView="100" workbookViewId="0">
      <selection activeCell="L121" sqref="L121"/>
    </sheetView>
  </sheetViews>
  <sheetFormatPr defaultRowHeight="15" x14ac:dyDescent="0.25"/>
  <cols>
    <col min="1" max="1" width="9.5703125" style="1" hidden="1" customWidth="1"/>
    <col min="2" max="2" width="24.7109375" style="1" customWidth="1"/>
    <col min="3" max="3" width="0.140625" style="1" hidden="1" customWidth="1"/>
    <col min="4" max="4" width="32.140625" style="1" customWidth="1"/>
    <col min="5" max="5" width="5.7109375" style="1" customWidth="1"/>
    <col min="6" max="6" width="15.28515625" style="2" customWidth="1"/>
    <col min="7" max="7" width="12.140625" style="3" customWidth="1"/>
    <col min="8" max="8" width="14.7109375" style="1" customWidth="1"/>
    <col min="9" max="9" width="10.5703125" style="1" customWidth="1"/>
    <col min="10" max="10" width="8.7109375" style="1" customWidth="1"/>
    <col min="11" max="12" width="12.140625" style="1" customWidth="1"/>
    <col min="13" max="1025" width="8.7109375" style="1" customWidth="1"/>
  </cols>
  <sheetData>
    <row r="1" spans="1:8" ht="91.5" customHeight="1" x14ac:dyDescent="0.25">
      <c r="A1" s="4"/>
      <c r="B1" s="40" t="s">
        <v>18</v>
      </c>
      <c r="C1" s="40"/>
      <c r="D1" s="40"/>
      <c r="E1" s="40"/>
      <c r="F1" s="40"/>
      <c r="G1" s="40"/>
      <c r="H1" s="41"/>
    </row>
    <row r="2" spans="1:8" ht="18" x14ac:dyDescent="0.25">
      <c r="A2" s="44" t="s">
        <v>0</v>
      </c>
      <c r="B2" s="45"/>
      <c r="C2" s="45"/>
      <c r="D2" s="45"/>
      <c r="E2" s="45"/>
      <c r="F2" s="45"/>
      <c r="G2" s="45"/>
      <c r="H2" s="46"/>
    </row>
    <row r="3" spans="1:8" ht="18" customHeight="1" x14ac:dyDescent="0.25">
      <c r="A3" s="55" t="s">
        <v>94</v>
      </c>
      <c r="B3" s="55"/>
      <c r="C3" s="55"/>
      <c r="D3" s="55"/>
      <c r="E3" s="55"/>
      <c r="F3" s="55"/>
      <c r="G3" s="55"/>
      <c r="H3" s="55"/>
    </row>
    <row r="4" spans="1:8" ht="15.75" customHeight="1" x14ac:dyDescent="0.25">
      <c r="A4" s="53" t="s">
        <v>1</v>
      </c>
      <c r="B4" s="53"/>
      <c r="C4" s="53"/>
      <c r="D4" s="53"/>
      <c r="E4" s="53"/>
      <c r="F4" s="53"/>
      <c r="G4" s="53"/>
      <c r="H4" s="53"/>
    </row>
    <row r="5" spans="1:8" ht="15" customHeight="1" x14ac:dyDescent="0.25">
      <c r="A5" s="56" t="s">
        <v>32</v>
      </c>
      <c r="B5" s="57"/>
      <c r="C5" s="59" t="s">
        <v>33</v>
      </c>
      <c r="D5" s="60"/>
      <c r="E5" s="58" t="s">
        <v>27</v>
      </c>
      <c r="F5" s="58"/>
      <c r="G5" s="58" t="s">
        <v>34</v>
      </c>
      <c r="H5" s="58"/>
    </row>
    <row r="6" spans="1:8" ht="15" customHeight="1" x14ac:dyDescent="0.25">
      <c r="A6" s="54" t="s">
        <v>42</v>
      </c>
      <c r="B6" s="56"/>
      <c r="C6" s="57"/>
      <c r="D6" s="54" t="s">
        <v>35</v>
      </c>
      <c r="E6" s="54"/>
      <c r="F6" s="54"/>
      <c r="G6" s="54"/>
      <c r="H6" s="54"/>
    </row>
    <row r="7" spans="1:8" ht="15" customHeight="1" x14ac:dyDescent="0.25">
      <c r="A7" s="56" t="s">
        <v>95</v>
      </c>
      <c r="B7" s="57"/>
      <c r="C7" s="56" t="s">
        <v>38</v>
      </c>
      <c r="D7" s="57"/>
      <c r="E7" s="58" t="s">
        <v>36</v>
      </c>
      <c r="F7" s="58"/>
      <c r="G7" s="58"/>
      <c r="H7" s="58"/>
    </row>
    <row r="8" spans="1:8" ht="15.75" customHeight="1" x14ac:dyDescent="0.25">
      <c r="A8" s="53" t="s">
        <v>2</v>
      </c>
      <c r="B8" s="53"/>
      <c r="C8" s="53"/>
      <c r="D8" s="53"/>
      <c r="E8" s="53"/>
      <c r="F8" s="53"/>
      <c r="G8" s="53"/>
      <c r="H8" s="53"/>
    </row>
    <row r="9" spans="1:8" ht="15" customHeight="1" x14ac:dyDescent="0.25">
      <c r="A9" s="54" t="s">
        <v>96</v>
      </c>
      <c r="B9" s="54"/>
      <c r="C9" s="54"/>
      <c r="D9" s="54"/>
      <c r="E9" s="54" t="s">
        <v>28</v>
      </c>
      <c r="F9" s="54"/>
      <c r="G9" s="54"/>
      <c r="H9" s="54"/>
    </row>
    <row r="10" spans="1:8" ht="15" customHeight="1" x14ac:dyDescent="0.25">
      <c r="A10" s="54" t="s">
        <v>39</v>
      </c>
      <c r="B10" s="54"/>
      <c r="C10" s="54"/>
      <c r="D10" s="54"/>
      <c r="E10" s="54"/>
      <c r="F10" s="54"/>
      <c r="G10" s="54"/>
      <c r="H10" s="54"/>
    </row>
    <row r="11" spans="1:8" ht="15" customHeight="1" x14ac:dyDescent="0.25">
      <c r="A11" s="54" t="s">
        <v>29</v>
      </c>
      <c r="B11" s="56"/>
      <c r="C11" s="57"/>
      <c r="D11" s="54" t="s">
        <v>30</v>
      </c>
      <c r="E11" s="54"/>
      <c r="F11" s="54"/>
      <c r="G11" s="54"/>
      <c r="H11" s="54"/>
    </row>
    <row r="12" spans="1:8" ht="15" customHeight="1" x14ac:dyDescent="0.25">
      <c r="A12" s="54" t="s">
        <v>31</v>
      </c>
      <c r="B12" s="54"/>
      <c r="C12" s="54"/>
      <c r="D12" s="54"/>
      <c r="E12" s="54"/>
      <c r="F12" s="54"/>
      <c r="G12" s="54"/>
      <c r="H12" s="54"/>
    </row>
    <row r="13" spans="1:8" ht="15.75" customHeight="1" x14ac:dyDescent="0.25">
      <c r="A13" s="53" t="s">
        <v>3</v>
      </c>
      <c r="B13" s="53"/>
      <c r="C13" s="53"/>
      <c r="D13" s="53"/>
      <c r="E13" s="53"/>
      <c r="F13" s="53"/>
      <c r="G13" s="53"/>
      <c r="H13" s="53"/>
    </row>
    <row r="14" spans="1:8" ht="15" customHeight="1" x14ac:dyDescent="0.25">
      <c r="A14" s="54" t="s">
        <v>14</v>
      </c>
      <c r="B14" s="54"/>
      <c r="C14" s="54"/>
      <c r="D14" s="54"/>
      <c r="E14" s="58" t="s">
        <v>15</v>
      </c>
      <c r="F14" s="58"/>
      <c r="G14" s="58"/>
      <c r="H14" s="58"/>
    </row>
    <row r="15" spans="1:8" ht="14.25" customHeight="1" x14ac:dyDescent="0.25">
      <c r="A15" s="54" t="s">
        <v>16</v>
      </c>
      <c r="B15" s="54"/>
      <c r="C15" s="54"/>
      <c r="D15" s="54"/>
      <c r="E15" s="54"/>
      <c r="F15" s="54"/>
      <c r="G15" s="54"/>
      <c r="H15" s="54"/>
    </row>
    <row r="16" spans="1:8" ht="1.5" customHeight="1" x14ac:dyDescent="0.25">
      <c r="A16" s="54"/>
      <c r="B16" s="54"/>
      <c r="C16" s="54"/>
      <c r="D16" s="54"/>
      <c r="E16" s="54"/>
      <c r="F16" s="54"/>
      <c r="G16" s="54"/>
      <c r="H16" s="54"/>
    </row>
    <row r="17" spans="1:8" ht="15" customHeight="1" x14ac:dyDescent="0.25">
      <c r="A17" s="49" t="s">
        <v>19</v>
      </c>
      <c r="B17" s="49"/>
      <c r="C17" s="49"/>
      <c r="D17" s="49"/>
      <c r="E17" s="49"/>
      <c r="F17" s="49"/>
      <c r="G17" s="49"/>
      <c r="H17" s="49"/>
    </row>
    <row r="18" spans="1:8" x14ac:dyDescent="0.25">
      <c r="A18" s="29"/>
      <c r="B18" s="29" t="s">
        <v>4</v>
      </c>
      <c r="C18" s="29"/>
      <c r="D18" s="29" t="s">
        <v>5</v>
      </c>
      <c r="E18" s="29" t="s">
        <v>6</v>
      </c>
      <c r="F18" s="9" t="s">
        <v>7</v>
      </c>
      <c r="G18" s="8" t="s">
        <v>8</v>
      </c>
      <c r="H18" s="8" t="s">
        <v>7</v>
      </c>
    </row>
    <row r="19" spans="1:8" ht="25.5" x14ac:dyDescent="0.25">
      <c r="A19" s="28"/>
      <c r="B19" s="28" t="s">
        <v>40</v>
      </c>
      <c r="C19" s="28"/>
      <c r="D19" s="31" t="s">
        <v>41</v>
      </c>
      <c r="E19" s="30">
        <v>1</v>
      </c>
      <c r="F19" s="26">
        <v>222.03</v>
      </c>
      <c r="G19" s="27">
        <v>0.21</v>
      </c>
      <c r="H19" s="26">
        <f t="shared" ref="H19:H52" si="0">SUM(F19*(1-G19))*E19</f>
        <v>175.4</v>
      </c>
    </row>
    <row r="20" spans="1:8" ht="25.5" x14ac:dyDescent="0.25">
      <c r="A20" s="28"/>
      <c r="B20" s="28" t="s">
        <v>90</v>
      </c>
      <c r="C20" s="28"/>
      <c r="D20" s="31" t="s">
        <v>43</v>
      </c>
      <c r="E20" s="30">
        <v>1</v>
      </c>
      <c r="F20" s="26">
        <v>222.03</v>
      </c>
      <c r="G20" s="27">
        <v>0.21</v>
      </c>
      <c r="H20" s="26">
        <f t="shared" si="0"/>
        <v>175.4</v>
      </c>
    </row>
    <row r="21" spans="1:8" x14ac:dyDescent="0.25">
      <c r="A21" s="28"/>
      <c r="B21" s="28" t="s">
        <v>40</v>
      </c>
      <c r="C21" s="28"/>
      <c r="D21" s="39" t="s">
        <v>44</v>
      </c>
      <c r="E21" s="30">
        <v>1.5</v>
      </c>
      <c r="F21" s="26">
        <v>222.03</v>
      </c>
      <c r="G21" s="27">
        <v>0.21</v>
      </c>
      <c r="H21" s="26">
        <f t="shared" si="0"/>
        <v>263.11</v>
      </c>
    </row>
    <row r="22" spans="1:8" x14ac:dyDescent="0.25">
      <c r="A22" s="28"/>
      <c r="B22" s="28" t="s">
        <v>90</v>
      </c>
      <c r="C22" s="36"/>
      <c r="D22" s="85" t="s">
        <v>63</v>
      </c>
      <c r="E22" s="37">
        <v>1.5</v>
      </c>
      <c r="F22" s="26">
        <v>222.03</v>
      </c>
      <c r="G22" s="27">
        <v>0.21</v>
      </c>
      <c r="H22" s="26">
        <f t="shared" ref="H22:H51" si="1">SUM(F22*(1-G22))*E22</f>
        <v>263.11</v>
      </c>
    </row>
    <row r="23" spans="1:8" ht="25.5" x14ac:dyDescent="0.25">
      <c r="A23" s="28"/>
      <c r="B23" s="28" t="s">
        <v>90</v>
      </c>
      <c r="C23" s="36"/>
      <c r="D23" s="85" t="s">
        <v>64</v>
      </c>
      <c r="E23" s="37">
        <v>1</v>
      </c>
      <c r="F23" s="26">
        <v>222.03</v>
      </c>
      <c r="G23" s="27">
        <v>0.21</v>
      </c>
      <c r="H23" s="26">
        <f t="shared" si="1"/>
        <v>175.4</v>
      </c>
    </row>
    <row r="24" spans="1:8" ht="25.5" x14ac:dyDescent="0.25">
      <c r="A24" s="28"/>
      <c r="B24" s="28" t="s">
        <v>40</v>
      </c>
      <c r="C24" s="36"/>
      <c r="D24" s="85" t="s">
        <v>65</v>
      </c>
      <c r="E24" s="37">
        <v>0</v>
      </c>
      <c r="F24" s="26">
        <v>222.03</v>
      </c>
      <c r="G24" s="27">
        <v>0.21</v>
      </c>
      <c r="H24" s="26">
        <v>0</v>
      </c>
    </row>
    <row r="25" spans="1:8" ht="25.5" x14ac:dyDescent="0.25">
      <c r="A25" s="28"/>
      <c r="B25" s="28" t="s">
        <v>40</v>
      </c>
      <c r="C25" s="36"/>
      <c r="D25" s="85" t="s">
        <v>66</v>
      </c>
      <c r="E25" s="37">
        <v>0</v>
      </c>
      <c r="F25" s="26">
        <v>222.03</v>
      </c>
      <c r="G25" s="27">
        <v>0.21</v>
      </c>
      <c r="H25" s="26">
        <v>0</v>
      </c>
    </row>
    <row r="26" spans="1:8" ht="25.5" x14ac:dyDescent="0.25">
      <c r="A26" s="28"/>
      <c r="B26" s="28" t="s">
        <v>40</v>
      </c>
      <c r="C26" s="36"/>
      <c r="D26" s="85" t="s">
        <v>67</v>
      </c>
      <c r="E26" s="37">
        <v>0</v>
      </c>
      <c r="F26" s="26">
        <v>222.03</v>
      </c>
      <c r="G26" s="27">
        <v>0.21</v>
      </c>
      <c r="H26" s="26">
        <v>0</v>
      </c>
    </row>
    <row r="27" spans="1:8" ht="25.5" x14ac:dyDescent="0.25">
      <c r="A27" s="28"/>
      <c r="B27" s="28" t="s">
        <v>40</v>
      </c>
      <c r="C27" s="36"/>
      <c r="D27" s="85" t="s">
        <v>68</v>
      </c>
      <c r="E27" s="37">
        <v>0.75</v>
      </c>
      <c r="F27" s="26">
        <v>222.03</v>
      </c>
      <c r="G27" s="27">
        <v>0.21</v>
      </c>
      <c r="H27" s="26">
        <f t="shared" si="1"/>
        <v>131.55000000000001</v>
      </c>
    </row>
    <row r="28" spans="1:8" ht="25.5" x14ac:dyDescent="0.25">
      <c r="A28" s="28"/>
      <c r="B28" s="28" t="s">
        <v>40</v>
      </c>
      <c r="C28" s="36"/>
      <c r="D28" s="85" t="s">
        <v>69</v>
      </c>
      <c r="E28" s="37">
        <v>0.75</v>
      </c>
      <c r="F28" s="26">
        <v>222.03</v>
      </c>
      <c r="G28" s="27">
        <v>0.21</v>
      </c>
      <c r="H28" s="26">
        <f t="shared" si="1"/>
        <v>131.55000000000001</v>
      </c>
    </row>
    <row r="29" spans="1:8" x14ac:dyDescent="0.25">
      <c r="A29" s="28"/>
      <c r="B29" s="28" t="s">
        <v>40</v>
      </c>
      <c r="C29" s="36"/>
      <c r="D29" s="85" t="s">
        <v>70</v>
      </c>
      <c r="E29" s="37">
        <v>1</v>
      </c>
      <c r="F29" s="26">
        <v>222.03</v>
      </c>
      <c r="G29" s="27">
        <v>0.21</v>
      </c>
      <c r="H29" s="26">
        <f t="shared" si="1"/>
        <v>175.4</v>
      </c>
    </row>
    <row r="30" spans="1:8" ht="25.5" x14ac:dyDescent="0.25">
      <c r="A30" s="28"/>
      <c r="B30" s="28" t="s">
        <v>40</v>
      </c>
      <c r="C30" s="36"/>
      <c r="D30" s="85" t="s">
        <v>71</v>
      </c>
      <c r="E30" s="37">
        <v>0.5</v>
      </c>
      <c r="F30" s="26">
        <v>222.03</v>
      </c>
      <c r="G30" s="27">
        <v>0.21</v>
      </c>
      <c r="H30" s="26">
        <f t="shared" si="1"/>
        <v>87.7</v>
      </c>
    </row>
    <row r="31" spans="1:8" ht="25.5" x14ac:dyDescent="0.25">
      <c r="A31" s="28"/>
      <c r="B31" s="28" t="s">
        <v>40</v>
      </c>
      <c r="C31" s="36"/>
      <c r="D31" s="85" t="s">
        <v>72</v>
      </c>
      <c r="E31" s="37"/>
      <c r="F31" s="26">
        <v>222.03</v>
      </c>
      <c r="G31" s="27">
        <v>0.21</v>
      </c>
      <c r="H31" s="26">
        <f t="shared" si="1"/>
        <v>0</v>
      </c>
    </row>
    <row r="32" spans="1:8" ht="25.5" x14ac:dyDescent="0.25">
      <c r="A32" s="28"/>
      <c r="B32" s="28" t="s">
        <v>40</v>
      </c>
      <c r="C32" s="36"/>
      <c r="D32" s="85" t="s">
        <v>85</v>
      </c>
      <c r="E32" s="37"/>
      <c r="F32" s="26">
        <v>222.03</v>
      </c>
      <c r="G32" s="27">
        <v>0.21</v>
      </c>
      <c r="H32" s="26">
        <f t="shared" si="1"/>
        <v>0</v>
      </c>
    </row>
    <row r="33" spans="1:8" ht="25.5" x14ac:dyDescent="0.25">
      <c r="A33" s="28"/>
      <c r="B33" s="28" t="s">
        <v>40</v>
      </c>
      <c r="C33" s="36"/>
      <c r="D33" s="85" t="s">
        <v>86</v>
      </c>
      <c r="E33" s="37">
        <v>0.75</v>
      </c>
      <c r="F33" s="26">
        <v>222.03</v>
      </c>
      <c r="G33" s="27">
        <v>0.21</v>
      </c>
      <c r="H33" s="26">
        <f t="shared" si="1"/>
        <v>131.55000000000001</v>
      </c>
    </row>
    <row r="34" spans="1:8" ht="25.5" x14ac:dyDescent="0.25">
      <c r="A34" s="28"/>
      <c r="B34" s="28" t="s">
        <v>40</v>
      </c>
      <c r="C34" s="36"/>
      <c r="D34" s="85" t="s">
        <v>87</v>
      </c>
      <c r="E34" s="37">
        <v>0.75</v>
      </c>
      <c r="F34" s="26">
        <v>222.03</v>
      </c>
      <c r="G34" s="27">
        <v>0.21</v>
      </c>
      <c r="H34" s="26">
        <f t="shared" si="1"/>
        <v>131.55000000000001</v>
      </c>
    </row>
    <row r="35" spans="1:8" x14ac:dyDescent="0.25">
      <c r="A35" s="28"/>
      <c r="B35" s="28" t="s">
        <v>40</v>
      </c>
      <c r="C35" s="36"/>
      <c r="D35" s="85" t="s">
        <v>88</v>
      </c>
      <c r="E35" s="37">
        <v>0</v>
      </c>
      <c r="F35" s="26">
        <v>222.03</v>
      </c>
      <c r="G35" s="27">
        <v>0.21</v>
      </c>
      <c r="H35" s="26">
        <f t="shared" si="1"/>
        <v>0</v>
      </c>
    </row>
    <row r="36" spans="1:8" x14ac:dyDescent="0.25">
      <c r="A36" s="28"/>
      <c r="B36" s="28" t="s">
        <v>40</v>
      </c>
      <c r="C36" s="36"/>
      <c r="D36" s="85" t="s">
        <v>97</v>
      </c>
      <c r="E36" s="37">
        <v>0</v>
      </c>
      <c r="F36" s="26">
        <v>222.03</v>
      </c>
      <c r="G36" s="27">
        <v>0.21</v>
      </c>
      <c r="H36" s="26">
        <f t="shared" si="1"/>
        <v>0</v>
      </c>
    </row>
    <row r="37" spans="1:8" x14ac:dyDescent="0.25">
      <c r="A37" s="28"/>
      <c r="B37" s="28" t="s">
        <v>89</v>
      </c>
      <c r="C37" s="36"/>
      <c r="D37" s="85" t="s">
        <v>98</v>
      </c>
      <c r="E37" s="37">
        <v>0.25</v>
      </c>
      <c r="F37" s="26">
        <v>222.03</v>
      </c>
      <c r="G37" s="27">
        <v>0.21</v>
      </c>
      <c r="H37" s="26">
        <f t="shared" si="1"/>
        <v>43.85</v>
      </c>
    </row>
    <row r="38" spans="1:8" x14ac:dyDescent="0.25">
      <c r="A38" s="28"/>
      <c r="B38" s="28" t="s">
        <v>89</v>
      </c>
      <c r="C38" s="36"/>
      <c r="D38" s="85" t="s">
        <v>99</v>
      </c>
      <c r="E38" s="37">
        <v>0.5</v>
      </c>
      <c r="F38" s="26">
        <v>222.03</v>
      </c>
      <c r="G38" s="27">
        <v>0.21</v>
      </c>
      <c r="H38" s="26">
        <f t="shared" si="1"/>
        <v>87.7</v>
      </c>
    </row>
    <row r="39" spans="1:8" ht="25.5" x14ac:dyDescent="0.25">
      <c r="A39" s="28"/>
      <c r="B39" s="28" t="s">
        <v>40</v>
      </c>
      <c r="C39" s="36"/>
      <c r="D39" s="85" t="s">
        <v>100</v>
      </c>
      <c r="E39" s="37">
        <v>0.25</v>
      </c>
      <c r="F39" s="26">
        <v>222.03</v>
      </c>
      <c r="G39" s="27">
        <v>0.21</v>
      </c>
      <c r="H39" s="26">
        <f t="shared" si="1"/>
        <v>43.85</v>
      </c>
    </row>
    <row r="40" spans="1:8" x14ac:dyDescent="0.25">
      <c r="A40" s="28"/>
      <c r="B40" s="28" t="s">
        <v>40</v>
      </c>
      <c r="C40" s="36"/>
      <c r="D40" s="85" t="s">
        <v>49</v>
      </c>
      <c r="E40" s="37">
        <v>1</v>
      </c>
      <c r="F40" s="26">
        <v>222.03</v>
      </c>
      <c r="G40" s="27">
        <v>0.21</v>
      </c>
      <c r="H40" s="26">
        <f t="shared" si="1"/>
        <v>175.4</v>
      </c>
    </row>
    <row r="41" spans="1:8" ht="25.5" x14ac:dyDescent="0.25">
      <c r="A41" s="28"/>
      <c r="B41" s="28" t="s">
        <v>40</v>
      </c>
      <c r="C41" s="36"/>
      <c r="D41" s="85" t="s">
        <v>101</v>
      </c>
      <c r="E41" s="37">
        <v>0.25</v>
      </c>
      <c r="F41" s="26">
        <v>222.03</v>
      </c>
      <c r="G41" s="27">
        <v>0.21</v>
      </c>
      <c r="H41" s="26">
        <f t="shared" si="1"/>
        <v>43.85</v>
      </c>
    </row>
    <row r="42" spans="1:8" ht="25.5" x14ac:dyDescent="0.25">
      <c r="A42" s="28"/>
      <c r="B42" s="28" t="s">
        <v>89</v>
      </c>
      <c r="C42" s="36"/>
      <c r="D42" s="85" t="s">
        <v>102</v>
      </c>
      <c r="E42" s="37">
        <v>1</v>
      </c>
      <c r="F42" s="26">
        <v>222.03</v>
      </c>
      <c r="G42" s="27">
        <v>0.21</v>
      </c>
      <c r="H42" s="26">
        <f t="shared" si="1"/>
        <v>175.4</v>
      </c>
    </row>
    <row r="43" spans="1:8" ht="25.5" x14ac:dyDescent="0.25">
      <c r="A43" s="28"/>
      <c r="B43" s="28" t="s">
        <v>89</v>
      </c>
      <c r="C43" s="36"/>
      <c r="D43" s="85" t="s">
        <v>103</v>
      </c>
      <c r="E43" s="37">
        <v>0.25</v>
      </c>
      <c r="F43" s="26">
        <v>222.03</v>
      </c>
      <c r="G43" s="27">
        <v>0.21</v>
      </c>
      <c r="H43" s="26">
        <f t="shared" si="1"/>
        <v>43.85</v>
      </c>
    </row>
    <row r="44" spans="1:8" ht="25.5" x14ac:dyDescent="0.25">
      <c r="A44" s="28"/>
      <c r="B44" s="28" t="s">
        <v>89</v>
      </c>
      <c r="C44" s="36"/>
      <c r="D44" s="85" t="s">
        <v>104</v>
      </c>
      <c r="E44" s="37">
        <v>0.25</v>
      </c>
      <c r="F44" s="26">
        <v>222.03</v>
      </c>
      <c r="G44" s="27">
        <v>0.21</v>
      </c>
      <c r="H44" s="26">
        <f t="shared" si="1"/>
        <v>43.85</v>
      </c>
    </row>
    <row r="45" spans="1:8" ht="25.5" x14ac:dyDescent="0.25">
      <c r="A45" s="28"/>
      <c r="B45" s="28" t="s">
        <v>40</v>
      </c>
      <c r="C45" s="36"/>
      <c r="D45" s="85" t="s">
        <v>105</v>
      </c>
      <c r="E45" s="37">
        <v>0.5</v>
      </c>
      <c r="F45" s="26">
        <v>222.03</v>
      </c>
      <c r="G45" s="27">
        <v>0.21</v>
      </c>
      <c r="H45" s="26">
        <v>87.71</v>
      </c>
    </row>
    <row r="46" spans="1:8" ht="25.5" x14ac:dyDescent="0.25">
      <c r="A46" s="28"/>
      <c r="B46" s="28" t="s">
        <v>40</v>
      </c>
      <c r="C46" s="36"/>
      <c r="D46" s="85" t="s">
        <v>55</v>
      </c>
      <c r="E46" s="37">
        <v>0.5</v>
      </c>
      <c r="F46" s="26">
        <v>222.03</v>
      </c>
      <c r="G46" s="27">
        <v>0.21</v>
      </c>
      <c r="H46" s="26">
        <v>87.71</v>
      </c>
    </row>
    <row r="47" spans="1:8" ht="25.5" x14ac:dyDescent="0.25">
      <c r="A47" s="28"/>
      <c r="B47" s="28" t="s">
        <v>40</v>
      </c>
      <c r="C47" s="36"/>
      <c r="D47" s="85" t="s">
        <v>106</v>
      </c>
      <c r="E47" s="37">
        <v>0.5</v>
      </c>
      <c r="F47" s="26">
        <v>222.03</v>
      </c>
      <c r="G47" s="27">
        <v>0.21</v>
      </c>
      <c r="H47" s="26">
        <v>87.71</v>
      </c>
    </row>
    <row r="48" spans="1:8" ht="25.5" x14ac:dyDescent="0.25">
      <c r="A48" s="28"/>
      <c r="B48" s="28" t="s">
        <v>40</v>
      </c>
      <c r="C48" s="36"/>
      <c r="D48" s="85" t="s">
        <v>57</v>
      </c>
      <c r="E48" s="37">
        <v>0.5</v>
      </c>
      <c r="F48" s="26">
        <v>222.03</v>
      </c>
      <c r="G48" s="27">
        <v>0.21</v>
      </c>
      <c r="H48" s="26">
        <v>87.71</v>
      </c>
    </row>
    <row r="49" spans="1:8" ht="25.5" x14ac:dyDescent="0.25">
      <c r="A49" s="28"/>
      <c r="B49" s="28" t="s">
        <v>40</v>
      </c>
      <c r="C49" s="36"/>
      <c r="D49" s="85" t="s">
        <v>107</v>
      </c>
      <c r="E49" s="37">
        <v>0.2</v>
      </c>
      <c r="F49" s="26">
        <v>222.03</v>
      </c>
      <c r="G49" s="27">
        <v>0.21</v>
      </c>
      <c r="H49" s="26">
        <f>SUM(F49*(1-G49))*E49</f>
        <v>35.08</v>
      </c>
    </row>
    <row r="50" spans="1:8" x14ac:dyDescent="0.25">
      <c r="A50" s="28"/>
      <c r="B50" s="28" t="s">
        <v>89</v>
      </c>
      <c r="C50" s="36"/>
      <c r="D50" s="85" t="s">
        <v>108</v>
      </c>
      <c r="E50" s="37">
        <v>0.25</v>
      </c>
      <c r="F50" s="26">
        <v>222.03</v>
      </c>
      <c r="G50" s="27">
        <v>0.21</v>
      </c>
      <c r="H50" s="26">
        <f t="shared" si="1"/>
        <v>43.85</v>
      </c>
    </row>
    <row r="51" spans="1:8" x14ac:dyDescent="0.25">
      <c r="A51" s="28"/>
      <c r="B51" s="28" t="s">
        <v>40</v>
      </c>
      <c r="C51" s="36"/>
      <c r="D51" s="85" t="s">
        <v>109</v>
      </c>
      <c r="E51" s="37">
        <v>1</v>
      </c>
      <c r="F51" s="26">
        <v>222.03</v>
      </c>
      <c r="G51" s="27">
        <v>0.21</v>
      </c>
      <c r="H51" s="26">
        <f t="shared" si="1"/>
        <v>175.4</v>
      </c>
    </row>
    <row r="52" spans="1:8" x14ac:dyDescent="0.25">
      <c r="A52" s="28"/>
      <c r="B52" s="28" t="s">
        <v>89</v>
      </c>
      <c r="C52" s="36"/>
      <c r="D52" s="85" t="s">
        <v>110</v>
      </c>
      <c r="E52" s="37">
        <v>1</v>
      </c>
      <c r="F52" s="26">
        <v>222.03</v>
      </c>
      <c r="G52" s="27">
        <v>0.21</v>
      </c>
      <c r="H52" s="26">
        <f t="shared" si="0"/>
        <v>175.4</v>
      </c>
    </row>
    <row r="53" spans="1:8" x14ac:dyDescent="0.25">
      <c r="A53" s="28"/>
      <c r="B53" s="28" t="s">
        <v>40</v>
      </c>
      <c r="C53" s="36"/>
      <c r="D53" s="85" t="s">
        <v>111</v>
      </c>
      <c r="E53" s="37">
        <v>0.5</v>
      </c>
      <c r="F53" s="26">
        <v>222.03</v>
      </c>
      <c r="G53" s="27">
        <v>0.21</v>
      </c>
      <c r="H53" s="26">
        <v>87.71</v>
      </c>
    </row>
    <row r="54" spans="1:8" x14ac:dyDescent="0.25">
      <c r="A54" s="28"/>
      <c r="B54" s="28" t="s">
        <v>40</v>
      </c>
      <c r="C54" s="36"/>
      <c r="D54" s="85" t="s">
        <v>112</v>
      </c>
      <c r="E54" s="37">
        <v>0.5</v>
      </c>
      <c r="F54" s="26">
        <v>222.03</v>
      </c>
      <c r="G54" s="27">
        <v>0.21</v>
      </c>
      <c r="H54" s="26">
        <v>87.71</v>
      </c>
    </row>
    <row r="55" spans="1:8" ht="25.5" x14ac:dyDescent="0.25">
      <c r="A55" s="28"/>
      <c r="B55" s="28" t="s">
        <v>40</v>
      </c>
      <c r="C55" s="36"/>
      <c r="D55" s="85" t="s">
        <v>113</v>
      </c>
      <c r="E55" s="37">
        <v>0.5</v>
      </c>
      <c r="F55" s="26">
        <v>222.03</v>
      </c>
      <c r="G55" s="27">
        <v>0.21</v>
      </c>
      <c r="H55" s="26">
        <v>87.71</v>
      </c>
    </row>
    <row r="56" spans="1:8" ht="25.5" x14ac:dyDescent="0.25">
      <c r="A56" s="28"/>
      <c r="B56" s="28" t="s">
        <v>40</v>
      </c>
      <c r="C56" s="36"/>
      <c r="D56" s="85" t="s">
        <v>114</v>
      </c>
      <c r="E56" s="37">
        <v>0.5</v>
      </c>
      <c r="F56" s="26">
        <v>222.03</v>
      </c>
      <c r="G56" s="27">
        <v>0.21</v>
      </c>
      <c r="H56" s="26">
        <f t="shared" ref="H56:H62" si="2">SUM(F56*(1-G56))*E56</f>
        <v>87.7</v>
      </c>
    </row>
    <row r="57" spans="1:8" x14ac:dyDescent="0.25">
      <c r="A57" s="28"/>
      <c r="B57" s="28" t="s">
        <v>40</v>
      </c>
      <c r="C57" s="36"/>
      <c r="D57" s="85" t="s">
        <v>115</v>
      </c>
      <c r="E57" s="37">
        <v>0.5</v>
      </c>
      <c r="F57" s="26">
        <v>222.03</v>
      </c>
      <c r="G57" s="27">
        <v>0.21</v>
      </c>
      <c r="H57" s="26">
        <f t="shared" ref="H57" si="3">SUM(F57*(1-G57))*E57</f>
        <v>87.7</v>
      </c>
    </row>
    <row r="58" spans="1:8" x14ac:dyDescent="0.25">
      <c r="A58" s="28"/>
      <c r="B58" s="28" t="s">
        <v>40</v>
      </c>
      <c r="C58" s="36"/>
      <c r="D58" s="86" t="s">
        <v>116</v>
      </c>
      <c r="E58" s="37">
        <v>0.5</v>
      </c>
      <c r="F58" s="26">
        <v>222.03</v>
      </c>
      <c r="G58" s="27">
        <v>0.21</v>
      </c>
      <c r="H58" s="26">
        <f t="shared" ref="H58" si="4">SUM(F58*(1-G58))*E58</f>
        <v>87.7</v>
      </c>
    </row>
    <row r="59" spans="1:8" x14ac:dyDescent="0.25">
      <c r="A59" s="28"/>
      <c r="B59" s="28" t="s">
        <v>40</v>
      </c>
      <c r="C59" s="36"/>
      <c r="D59" s="85" t="s">
        <v>117</v>
      </c>
      <c r="E59" s="37">
        <v>1</v>
      </c>
      <c r="F59" s="26">
        <v>222.03</v>
      </c>
      <c r="G59" s="27">
        <v>0.21</v>
      </c>
      <c r="H59" s="26">
        <f t="shared" si="2"/>
        <v>175.4</v>
      </c>
    </row>
    <row r="60" spans="1:8" ht="25.5" x14ac:dyDescent="0.25">
      <c r="A60" s="28"/>
      <c r="B60" s="28" t="s">
        <v>89</v>
      </c>
      <c r="C60" s="36"/>
      <c r="D60" s="85" t="s">
        <v>74</v>
      </c>
      <c r="E60" s="37">
        <v>1</v>
      </c>
      <c r="F60" s="26">
        <v>222.03</v>
      </c>
      <c r="G60" s="27">
        <v>0.21</v>
      </c>
      <c r="H60" s="26">
        <f t="shared" si="2"/>
        <v>175.4</v>
      </c>
    </row>
    <row r="61" spans="1:8" x14ac:dyDescent="0.25">
      <c r="A61" s="28"/>
      <c r="B61" s="28" t="s">
        <v>40</v>
      </c>
      <c r="C61" s="36"/>
      <c r="D61" s="85" t="s">
        <v>118</v>
      </c>
      <c r="E61" s="37">
        <v>1</v>
      </c>
      <c r="F61" s="26">
        <v>222.03</v>
      </c>
      <c r="G61" s="27">
        <v>0.21</v>
      </c>
      <c r="H61" s="26">
        <f t="shared" si="2"/>
        <v>175.4</v>
      </c>
    </row>
    <row r="62" spans="1:8" ht="25.5" x14ac:dyDescent="0.25">
      <c r="A62" s="28"/>
      <c r="B62" s="28" t="s">
        <v>40</v>
      </c>
      <c r="C62" s="36"/>
      <c r="D62" s="85" t="s">
        <v>119</v>
      </c>
      <c r="E62" s="38">
        <v>0.25</v>
      </c>
      <c r="F62" s="26">
        <v>222.03</v>
      </c>
      <c r="G62" s="27">
        <v>0.21</v>
      </c>
      <c r="H62" s="26">
        <f t="shared" si="2"/>
        <v>43.85</v>
      </c>
    </row>
    <row r="63" spans="1:8" ht="25.5" x14ac:dyDescent="0.25">
      <c r="A63" s="28"/>
      <c r="B63" s="28" t="s">
        <v>40</v>
      </c>
      <c r="C63" s="36"/>
      <c r="D63" s="85" t="s">
        <v>120</v>
      </c>
      <c r="E63" s="38">
        <v>0.25</v>
      </c>
      <c r="F63" s="26">
        <v>222.03</v>
      </c>
      <c r="G63" s="27">
        <v>0.21</v>
      </c>
      <c r="H63" s="26">
        <f t="shared" ref="H63:H65" si="5">SUM(F63*(1-G63))*E63</f>
        <v>43.85</v>
      </c>
    </row>
    <row r="64" spans="1:8" x14ac:dyDescent="0.25">
      <c r="A64" s="28"/>
      <c r="B64" s="28" t="s">
        <v>89</v>
      </c>
      <c r="C64" s="36"/>
      <c r="D64" s="85" t="s">
        <v>121</v>
      </c>
      <c r="E64" s="37">
        <v>1</v>
      </c>
      <c r="F64" s="26">
        <v>222.03</v>
      </c>
      <c r="G64" s="27">
        <v>0.21</v>
      </c>
      <c r="H64" s="26">
        <f t="shared" si="5"/>
        <v>175.4</v>
      </c>
    </row>
    <row r="65" spans="1:10" x14ac:dyDescent="0.25">
      <c r="A65" s="28"/>
      <c r="B65" s="28" t="s">
        <v>91</v>
      </c>
      <c r="C65" s="36"/>
      <c r="D65" s="85" t="s">
        <v>122</v>
      </c>
      <c r="E65" s="37">
        <v>1</v>
      </c>
      <c r="F65" s="26">
        <v>222.03</v>
      </c>
      <c r="G65" s="27">
        <v>0.21</v>
      </c>
      <c r="H65" s="26">
        <f t="shared" si="5"/>
        <v>175.4</v>
      </c>
    </row>
    <row r="66" spans="1:10" ht="25.5" x14ac:dyDescent="0.25">
      <c r="A66" s="28"/>
      <c r="B66" s="28" t="s">
        <v>91</v>
      </c>
      <c r="C66" s="36"/>
      <c r="D66" s="85" t="s">
        <v>123</v>
      </c>
      <c r="E66" s="37">
        <v>0.6</v>
      </c>
      <c r="F66" s="26">
        <v>222.03</v>
      </c>
      <c r="G66" s="27">
        <v>0.21</v>
      </c>
      <c r="H66" s="26">
        <f t="shared" ref="H66:H74" si="6">SUM(F66*(1-G66))*E66</f>
        <v>105.24</v>
      </c>
    </row>
    <row r="67" spans="1:10" ht="25.5" x14ac:dyDescent="0.25">
      <c r="A67" s="28"/>
      <c r="B67" s="28" t="s">
        <v>93</v>
      </c>
      <c r="C67" s="36"/>
      <c r="D67" s="85" t="s">
        <v>124</v>
      </c>
      <c r="E67" s="37">
        <v>1</v>
      </c>
      <c r="F67" s="26">
        <v>222.03</v>
      </c>
      <c r="G67" s="27">
        <v>0.21</v>
      </c>
      <c r="H67" s="26">
        <f t="shared" si="6"/>
        <v>175.4</v>
      </c>
    </row>
    <row r="68" spans="1:10" ht="25.5" x14ac:dyDescent="0.25">
      <c r="A68" s="28"/>
      <c r="B68" s="28" t="s">
        <v>93</v>
      </c>
      <c r="C68" s="36"/>
      <c r="D68" s="85" t="s">
        <v>131</v>
      </c>
      <c r="E68" s="37">
        <v>0.5</v>
      </c>
      <c r="F68" s="26">
        <v>222.03</v>
      </c>
      <c r="G68" s="27">
        <v>0.21</v>
      </c>
      <c r="H68" s="26">
        <f t="shared" si="6"/>
        <v>87.7</v>
      </c>
    </row>
    <row r="69" spans="1:10" x14ac:dyDescent="0.25">
      <c r="A69" s="28"/>
      <c r="B69" s="28" t="s">
        <v>92</v>
      </c>
      <c r="C69" s="36"/>
      <c r="D69" s="85" t="s">
        <v>130</v>
      </c>
      <c r="E69" s="37">
        <v>0.5</v>
      </c>
      <c r="F69" s="26">
        <v>222.03</v>
      </c>
      <c r="G69" s="27">
        <v>0.21</v>
      </c>
      <c r="H69" s="26">
        <f t="shared" si="6"/>
        <v>87.7</v>
      </c>
    </row>
    <row r="70" spans="1:10" ht="25.5" x14ac:dyDescent="0.25">
      <c r="A70" s="28"/>
      <c r="B70" s="28" t="s">
        <v>92</v>
      </c>
      <c r="C70" s="36"/>
      <c r="D70" s="85" t="s">
        <v>129</v>
      </c>
      <c r="E70" s="37">
        <v>0.4</v>
      </c>
      <c r="F70" s="26">
        <v>222.03</v>
      </c>
      <c r="G70" s="27">
        <v>0.21</v>
      </c>
      <c r="H70" s="26">
        <f t="shared" si="6"/>
        <v>70.16</v>
      </c>
    </row>
    <row r="71" spans="1:10" ht="25.5" x14ac:dyDescent="0.25">
      <c r="A71" s="28"/>
      <c r="B71" s="28" t="s">
        <v>40</v>
      </c>
      <c r="C71" s="36"/>
      <c r="D71" s="85" t="s">
        <v>128</v>
      </c>
      <c r="E71" s="37">
        <v>1</v>
      </c>
      <c r="F71" s="26">
        <v>222.03</v>
      </c>
      <c r="G71" s="27">
        <v>0.21</v>
      </c>
      <c r="H71" s="26">
        <f t="shared" si="6"/>
        <v>175.4</v>
      </c>
    </row>
    <row r="72" spans="1:10" ht="25.5" x14ac:dyDescent="0.25">
      <c r="A72" s="28"/>
      <c r="B72" s="28" t="s">
        <v>90</v>
      </c>
      <c r="C72" s="36"/>
      <c r="D72" s="85" t="s">
        <v>127</v>
      </c>
      <c r="E72" s="37">
        <v>1</v>
      </c>
      <c r="F72" s="26">
        <v>222.03</v>
      </c>
      <c r="G72" s="27">
        <v>0.21</v>
      </c>
      <c r="H72" s="26">
        <f t="shared" si="6"/>
        <v>175.4</v>
      </c>
    </row>
    <row r="73" spans="1:10" ht="25.5" x14ac:dyDescent="0.25">
      <c r="A73" s="28"/>
      <c r="B73" s="28" t="s">
        <v>90</v>
      </c>
      <c r="C73" s="36"/>
      <c r="D73" s="85" t="s">
        <v>126</v>
      </c>
      <c r="E73" s="37">
        <v>1</v>
      </c>
      <c r="F73" s="26">
        <v>222.03</v>
      </c>
      <c r="G73" s="27">
        <v>0.21</v>
      </c>
      <c r="H73" s="26">
        <f t="shared" si="6"/>
        <v>175.4</v>
      </c>
    </row>
    <row r="74" spans="1:10" ht="25.5" x14ac:dyDescent="0.25">
      <c r="A74" s="28"/>
      <c r="B74" s="28" t="s">
        <v>90</v>
      </c>
      <c r="C74" s="36"/>
      <c r="D74" s="85" t="s">
        <v>125</v>
      </c>
      <c r="E74" s="37">
        <v>1</v>
      </c>
      <c r="F74" s="26">
        <v>222.03</v>
      </c>
      <c r="G74" s="27">
        <v>0.21</v>
      </c>
      <c r="H74" s="26">
        <f t="shared" si="6"/>
        <v>175.4</v>
      </c>
    </row>
    <row r="75" spans="1:10" x14ac:dyDescent="0.25">
      <c r="A75" s="20"/>
      <c r="B75" s="21"/>
      <c r="C75" s="22"/>
      <c r="D75" s="23" t="s">
        <v>22</v>
      </c>
      <c r="E75" s="88">
        <f>SUM(E19:E74)</f>
        <v>34.200000000000003</v>
      </c>
      <c r="F75" s="89"/>
      <c r="G75" s="90"/>
      <c r="H75" s="91">
        <f>SUM(H19:H74)</f>
        <v>5998.77</v>
      </c>
    </row>
    <row r="76" spans="1:10" ht="38.25" x14ac:dyDescent="0.25">
      <c r="A76" s="8" t="s">
        <v>26</v>
      </c>
      <c r="B76" s="50" t="s">
        <v>23</v>
      </c>
      <c r="C76" s="51"/>
      <c r="D76" s="29" t="s">
        <v>24</v>
      </c>
      <c r="E76" s="8" t="s">
        <v>9</v>
      </c>
      <c r="F76" s="9" t="s">
        <v>25</v>
      </c>
      <c r="G76" s="8" t="s">
        <v>10</v>
      </c>
      <c r="H76" s="8" t="s">
        <v>7</v>
      </c>
    </row>
    <row r="77" spans="1:10" x14ac:dyDescent="0.25">
      <c r="A77" s="15"/>
      <c r="B77" s="42">
        <v>5207381</v>
      </c>
      <c r="C77" s="74"/>
      <c r="D77" s="39" t="s">
        <v>132</v>
      </c>
      <c r="E77" s="34">
        <v>1</v>
      </c>
      <c r="F77" s="82">
        <v>880.77</v>
      </c>
      <c r="G77" s="25">
        <v>0.2</v>
      </c>
      <c r="H77" s="26">
        <f>(F77*(1-G77))*E77</f>
        <v>704.62</v>
      </c>
    </row>
    <row r="78" spans="1:10" x14ac:dyDescent="0.25">
      <c r="A78" s="15"/>
      <c r="B78" s="43">
        <v>94768943</v>
      </c>
      <c r="C78" s="75"/>
      <c r="D78" s="31" t="s">
        <v>133</v>
      </c>
      <c r="E78" s="34">
        <v>1</v>
      </c>
      <c r="F78" s="82">
        <v>662.93</v>
      </c>
      <c r="G78" s="25">
        <v>0.2</v>
      </c>
      <c r="H78" s="26">
        <f t="shared" ref="H78" si="7">(F78*(1-G78))*E78</f>
        <v>530.34</v>
      </c>
    </row>
    <row r="79" spans="1:10" x14ac:dyDescent="0.25">
      <c r="A79" s="15"/>
      <c r="B79" s="73">
        <v>52123597</v>
      </c>
      <c r="C79" s="76"/>
      <c r="D79" s="31" t="s">
        <v>134</v>
      </c>
      <c r="E79" s="34">
        <v>1</v>
      </c>
      <c r="F79" s="82">
        <v>1464.39</v>
      </c>
      <c r="G79" s="25">
        <v>0.2</v>
      </c>
      <c r="H79" s="26">
        <f t="shared" ref="H79:H97" si="8">(F79*(1-G79))*E79</f>
        <v>1171.51</v>
      </c>
    </row>
    <row r="80" spans="1:10" x14ac:dyDescent="0.25">
      <c r="A80" s="15"/>
      <c r="B80" s="43">
        <v>52123596</v>
      </c>
      <c r="C80" s="75"/>
      <c r="D80" s="31" t="s">
        <v>135</v>
      </c>
      <c r="E80" s="34">
        <v>1</v>
      </c>
      <c r="F80" s="82">
        <v>1257.04</v>
      </c>
      <c r="G80" s="25">
        <v>0.2</v>
      </c>
      <c r="H80" s="26">
        <f t="shared" si="8"/>
        <v>1005.63</v>
      </c>
      <c r="J80" s="87"/>
    </row>
    <row r="81" spans="1:8" x14ac:dyDescent="0.25">
      <c r="A81" s="15"/>
      <c r="B81" s="33">
        <v>52083442</v>
      </c>
      <c r="C81" s="77"/>
      <c r="D81" s="31" t="s">
        <v>136</v>
      </c>
      <c r="E81" s="34">
        <v>1</v>
      </c>
      <c r="F81" s="82">
        <v>1539.7</v>
      </c>
      <c r="G81" s="25">
        <v>0.2</v>
      </c>
      <c r="H81" s="26">
        <f t="shared" si="8"/>
        <v>1231.76</v>
      </c>
    </row>
    <row r="82" spans="1:8" x14ac:dyDescent="0.25">
      <c r="A82" s="15"/>
      <c r="B82" s="33">
        <v>52083442</v>
      </c>
      <c r="C82" s="77"/>
      <c r="D82" s="31" t="s">
        <v>137</v>
      </c>
      <c r="E82" s="34">
        <v>1</v>
      </c>
      <c r="F82" s="82">
        <v>1539.7</v>
      </c>
      <c r="G82" s="25">
        <v>0.2</v>
      </c>
      <c r="H82" s="26">
        <f t="shared" si="8"/>
        <v>1231.76</v>
      </c>
    </row>
    <row r="83" spans="1:8" ht="25.5" x14ac:dyDescent="0.25">
      <c r="A83" s="15"/>
      <c r="B83" s="33">
        <v>97946180</v>
      </c>
      <c r="C83" s="77"/>
      <c r="D83" s="31" t="s">
        <v>142</v>
      </c>
      <c r="E83" s="34">
        <v>2</v>
      </c>
      <c r="F83" s="26">
        <v>199.25</v>
      </c>
      <c r="G83" s="25">
        <v>0.2</v>
      </c>
      <c r="H83" s="26">
        <f t="shared" si="8"/>
        <v>318.8</v>
      </c>
    </row>
    <row r="84" spans="1:8" ht="25.5" x14ac:dyDescent="0.25">
      <c r="A84" s="15"/>
      <c r="B84" s="33">
        <v>94759591</v>
      </c>
      <c r="C84" s="77"/>
      <c r="D84" s="31" t="s">
        <v>138</v>
      </c>
      <c r="E84" s="34">
        <v>1</v>
      </c>
      <c r="F84" s="82">
        <v>114.76</v>
      </c>
      <c r="G84" s="25">
        <v>0.2</v>
      </c>
      <c r="H84" s="26">
        <f t="shared" si="8"/>
        <v>91.81</v>
      </c>
    </row>
    <row r="85" spans="1:8" ht="25.5" x14ac:dyDescent="0.25">
      <c r="A85" s="15"/>
      <c r="B85" s="33">
        <v>52123587</v>
      </c>
      <c r="C85" s="77"/>
      <c r="D85" s="31" t="s">
        <v>139</v>
      </c>
      <c r="E85" s="34">
        <v>2</v>
      </c>
      <c r="F85" s="83">
        <v>197.79</v>
      </c>
      <c r="G85" s="25">
        <v>0.2</v>
      </c>
      <c r="H85" s="26">
        <f t="shared" si="8"/>
        <v>316.45999999999998</v>
      </c>
    </row>
    <row r="86" spans="1:8" x14ac:dyDescent="0.25">
      <c r="A86" s="15"/>
      <c r="B86" s="33">
        <v>52073781</v>
      </c>
      <c r="C86" s="77"/>
      <c r="D86" s="31" t="s">
        <v>140</v>
      </c>
      <c r="E86" s="34">
        <v>1</v>
      </c>
      <c r="F86" s="82">
        <v>880.77</v>
      </c>
      <c r="G86" s="25">
        <v>0.2</v>
      </c>
      <c r="H86" s="26">
        <f t="shared" si="8"/>
        <v>704.62</v>
      </c>
    </row>
    <row r="87" spans="1:8" ht="25.5" x14ac:dyDescent="0.25">
      <c r="A87" s="15"/>
      <c r="B87" s="33">
        <v>94751376</v>
      </c>
      <c r="C87" s="77"/>
      <c r="D87" s="31" t="s">
        <v>141</v>
      </c>
      <c r="E87" s="34">
        <v>1</v>
      </c>
      <c r="F87" s="82">
        <v>126.2</v>
      </c>
      <c r="G87" s="25">
        <v>0.2</v>
      </c>
      <c r="H87" s="26">
        <f t="shared" si="8"/>
        <v>100.96</v>
      </c>
    </row>
    <row r="88" spans="1:8" ht="26.25" x14ac:dyDescent="0.25">
      <c r="A88" s="15"/>
      <c r="B88" s="33">
        <v>52123580</v>
      </c>
      <c r="C88" s="34"/>
      <c r="D88" s="84" t="s">
        <v>143</v>
      </c>
      <c r="E88" s="34">
        <v>2</v>
      </c>
      <c r="F88" s="83">
        <v>215.73</v>
      </c>
      <c r="G88" s="25">
        <v>0.2</v>
      </c>
      <c r="H88" s="26">
        <v>345.16</v>
      </c>
    </row>
    <row r="89" spans="1:8" ht="25.5" x14ac:dyDescent="0.25">
      <c r="A89" s="15"/>
      <c r="B89" s="33">
        <v>52123587</v>
      </c>
      <c r="C89" s="77"/>
      <c r="D89" s="31" t="s">
        <v>145</v>
      </c>
      <c r="E89" s="34">
        <v>2</v>
      </c>
      <c r="F89" s="83">
        <v>197.79</v>
      </c>
      <c r="G89" s="25">
        <v>0.2</v>
      </c>
      <c r="H89" s="26">
        <f t="shared" si="8"/>
        <v>316.45999999999998</v>
      </c>
    </row>
    <row r="90" spans="1:8" x14ac:dyDescent="0.25">
      <c r="A90" s="15"/>
      <c r="B90" s="33">
        <v>94708484</v>
      </c>
      <c r="C90" s="77"/>
      <c r="D90" s="31" t="s">
        <v>144</v>
      </c>
      <c r="E90" s="34">
        <v>1</v>
      </c>
      <c r="F90" s="82">
        <v>76.040000000000006</v>
      </c>
      <c r="G90" s="25">
        <v>0.2</v>
      </c>
      <c r="H90" s="26">
        <f t="shared" si="8"/>
        <v>60.83</v>
      </c>
    </row>
    <row r="91" spans="1:8" x14ac:dyDescent="0.25">
      <c r="A91" s="15"/>
      <c r="B91" s="33">
        <v>94708477</v>
      </c>
      <c r="C91" s="77"/>
      <c r="D91" s="31" t="s">
        <v>45</v>
      </c>
      <c r="E91" s="34">
        <v>1</v>
      </c>
      <c r="F91" s="82">
        <v>83.61</v>
      </c>
      <c r="G91" s="25">
        <v>0.2</v>
      </c>
      <c r="H91" s="26">
        <f t="shared" si="8"/>
        <v>66.89</v>
      </c>
    </row>
    <row r="92" spans="1:8" x14ac:dyDescent="0.25">
      <c r="A92" s="15"/>
      <c r="B92" s="33">
        <v>52019860</v>
      </c>
      <c r="C92" s="77"/>
      <c r="D92" s="31" t="s">
        <v>46</v>
      </c>
      <c r="E92" s="34">
        <v>1</v>
      </c>
      <c r="F92" s="82">
        <v>801.71</v>
      </c>
      <c r="G92" s="25">
        <v>0.2</v>
      </c>
      <c r="H92" s="26">
        <f t="shared" si="8"/>
        <v>641.37</v>
      </c>
    </row>
    <row r="93" spans="1:8" x14ac:dyDescent="0.25">
      <c r="A93" s="15"/>
      <c r="B93" s="33">
        <v>52108355</v>
      </c>
      <c r="C93" s="77"/>
      <c r="D93" s="31" t="s">
        <v>47</v>
      </c>
      <c r="E93" s="34">
        <v>1</v>
      </c>
      <c r="F93" s="82">
        <v>1645.29</v>
      </c>
      <c r="G93" s="25">
        <v>0.2</v>
      </c>
      <c r="H93" s="26">
        <f t="shared" si="8"/>
        <v>1316.23</v>
      </c>
    </row>
    <row r="94" spans="1:8" x14ac:dyDescent="0.25">
      <c r="A94" s="15"/>
      <c r="B94" s="33">
        <v>94717081</v>
      </c>
      <c r="C94" s="77"/>
      <c r="D94" s="31" t="s">
        <v>48</v>
      </c>
      <c r="E94" s="34">
        <v>1</v>
      </c>
      <c r="F94" s="82">
        <v>175.5</v>
      </c>
      <c r="G94" s="25">
        <v>0.2</v>
      </c>
      <c r="H94" s="26">
        <f t="shared" si="8"/>
        <v>140.4</v>
      </c>
    </row>
    <row r="95" spans="1:8" x14ac:dyDescent="0.25">
      <c r="A95" s="15"/>
      <c r="B95" s="33">
        <v>52123588</v>
      </c>
      <c r="C95" s="77"/>
      <c r="D95" s="31" t="s">
        <v>49</v>
      </c>
      <c r="E95" s="34">
        <v>1</v>
      </c>
      <c r="F95" s="82">
        <v>2239.65</v>
      </c>
      <c r="G95" s="25">
        <v>0.2</v>
      </c>
      <c r="H95" s="26">
        <f t="shared" si="8"/>
        <v>1791.72</v>
      </c>
    </row>
    <row r="96" spans="1:8" ht="25.5" x14ac:dyDescent="0.25">
      <c r="A96" s="15"/>
      <c r="B96" s="33">
        <v>94717080</v>
      </c>
      <c r="C96" s="77"/>
      <c r="D96" s="31" t="s">
        <v>50</v>
      </c>
      <c r="E96" s="34">
        <v>1</v>
      </c>
      <c r="F96" s="83">
        <v>177.41</v>
      </c>
      <c r="G96" s="25">
        <v>0.2</v>
      </c>
      <c r="H96" s="26">
        <f t="shared" si="8"/>
        <v>141.93</v>
      </c>
    </row>
    <row r="97" spans="1:13" ht="25.5" x14ac:dyDescent="0.25">
      <c r="A97" s="15"/>
      <c r="B97" s="33">
        <v>52129017</v>
      </c>
      <c r="C97" s="77"/>
      <c r="D97" s="31" t="s">
        <v>51</v>
      </c>
      <c r="E97" s="34">
        <v>1</v>
      </c>
      <c r="F97" s="83">
        <v>1690.17</v>
      </c>
      <c r="G97" s="25">
        <v>0.2</v>
      </c>
      <c r="H97" s="26">
        <f t="shared" si="8"/>
        <v>1352.14</v>
      </c>
    </row>
    <row r="98" spans="1:13" ht="25.5" x14ac:dyDescent="0.25">
      <c r="A98" s="15"/>
      <c r="B98" s="43">
        <v>94770208</v>
      </c>
      <c r="C98" s="75"/>
      <c r="D98" s="31" t="s">
        <v>52</v>
      </c>
      <c r="E98" s="34">
        <v>1</v>
      </c>
      <c r="F98" s="82">
        <v>974.75</v>
      </c>
      <c r="G98" s="25">
        <v>0.2</v>
      </c>
      <c r="H98" s="26">
        <f t="shared" ref="H98" si="9">(F98*(1-G98))*E98</f>
        <v>779.8</v>
      </c>
    </row>
    <row r="99" spans="1:13" x14ac:dyDescent="0.25">
      <c r="A99" s="15"/>
      <c r="B99" s="52">
        <v>94770218</v>
      </c>
      <c r="C99" s="78"/>
      <c r="D99" s="31" t="s">
        <v>53</v>
      </c>
      <c r="E99" s="34">
        <v>1</v>
      </c>
      <c r="F99" s="82">
        <v>598.39</v>
      </c>
      <c r="G99" s="25">
        <v>0.2</v>
      </c>
      <c r="H99" s="26">
        <f t="shared" ref="H99:H120" si="10">(F99*(1-G99))*E99</f>
        <v>478.71</v>
      </c>
      <c r="M99" s="24"/>
    </row>
    <row r="100" spans="1:13" x14ac:dyDescent="0.25">
      <c r="A100" s="15"/>
      <c r="B100" s="32">
        <v>52084684</v>
      </c>
      <c r="C100" s="79"/>
      <c r="D100" s="31" t="s">
        <v>54</v>
      </c>
      <c r="E100" s="34">
        <v>2</v>
      </c>
      <c r="F100" s="82">
        <v>738.89</v>
      </c>
      <c r="G100" s="25">
        <v>0.2</v>
      </c>
      <c r="H100" s="26">
        <f t="shared" si="10"/>
        <v>1182.22</v>
      </c>
      <c r="M100" s="35"/>
    </row>
    <row r="101" spans="1:13" ht="25.5" x14ac:dyDescent="0.25">
      <c r="A101" s="15"/>
      <c r="B101" s="32">
        <v>52084670</v>
      </c>
      <c r="C101" s="79"/>
      <c r="D101" s="31" t="s">
        <v>56</v>
      </c>
      <c r="E101" s="34">
        <v>2</v>
      </c>
      <c r="F101" s="82">
        <v>740.45</v>
      </c>
      <c r="G101" s="25">
        <v>0.2</v>
      </c>
      <c r="H101" s="26">
        <f t="shared" si="10"/>
        <v>1184.72</v>
      </c>
      <c r="M101" s="35"/>
    </row>
    <row r="102" spans="1:13" ht="25.5" x14ac:dyDescent="0.25">
      <c r="A102" s="15"/>
      <c r="B102" s="32">
        <v>98036594</v>
      </c>
      <c r="C102" s="79"/>
      <c r="D102" s="31" t="s">
        <v>58</v>
      </c>
      <c r="E102" s="34">
        <v>1</v>
      </c>
      <c r="F102" s="82">
        <v>56.4</v>
      </c>
      <c r="G102" s="25">
        <v>0.2</v>
      </c>
      <c r="H102" s="26">
        <f t="shared" ref="H102:H108" si="11">(F102*(1-G102))*E102</f>
        <v>45.12</v>
      </c>
      <c r="M102" s="35"/>
    </row>
    <row r="103" spans="1:13" x14ac:dyDescent="0.25">
      <c r="A103" s="15"/>
      <c r="B103" s="32">
        <v>52042143</v>
      </c>
      <c r="C103" s="79"/>
      <c r="D103" s="31" t="s">
        <v>59</v>
      </c>
      <c r="E103" s="34">
        <v>1</v>
      </c>
      <c r="F103" s="82">
        <v>428.76</v>
      </c>
      <c r="G103" s="25">
        <v>0.2</v>
      </c>
      <c r="H103" s="26">
        <f t="shared" si="11"/>
        <v>343.01</v>
      </c>
      <c r="M103" s="35"/>
    </row>
    <row r="104" spans="1:13" x14ac:dyDescent="0.25">
      <c r="A104" s="15"/>
      <c r="B104" s="32">
        <v>52123589</v>
      </c>
      <c r="C104" s="79"/>
      <c r="D104" s="31" t="s">
        <v>60</v>
      </c>
      <c r="E104" s="34">
        <v>1</v>
      </c>
      <c r="F104" s="82">
        <v>2292.9499999999998</v>
      </c>
      <c r="G104" s="25">
        <v>0.2</v>
      </c>
      <c r="H104" s="26">
        <f t="shared" si="11"/>
        <v>1834.36</v>
      </c>
      <c r="M104" s="35"/>
    </row>
    <row r="105" spans="1:13" x14ac:dyDescent="0.25">
      <c r="A105" s="15"/>
      <c r="B105" s="32">
        <v>94770227</v>
      </c>
      <c r="C105" s="79"/>
      <c r="D105" s="31" t="s">
        <v>61</v>
      </c>
      <c r="E105" s="34">
        <v>1</v>
      </c>
      <c r="F105" s="82">
        <v>1890.18</v>
      </c>
      <c r="G105" s="25">
        <v>0.2</v>
      </c>
      <c r="H105" s="26">
        <f t="shared" si="11"/>
        <v>1512.14</v>
      </c>
      <c r="M105" s="35"/>
    </row>
    <row r="106" spans="1:13" ht="25.5" x14ac:dyDescent="0.25">
      <c r="A106" s="15"/>
      <c r="B106" s="32">
        <v>52073753</v>
      </c>
      <c r="C106" s="79"/>
      <c r="D106" s="31" t="s">
        <v>146</v>
      </c>
      <c r="E106" s="34">
        <v>2</v>
      </c>
      <c r="F106" s="83">
        <v>676.85</v>
      </c>
      <c r="G106" s="25">
        <v>0.2</v>
      </c>
      <c r="H106" s="26">
        <f t="shared" si="11"/>
        <v>1082.96</v>
      </c>
      <c r="M106" s="35"/>
    </row>
    <row r="107" spans="1:13" x14ac:dyDescent="0.25">
      <c r="A107" s="15"/>
      <c r="B107" s="32">
        <v>52030354</v>
      </c>
      <c r="C107" s="79"/>
      <c r="D107" s="31" t="s">
        <v>62</v>
      </c>
      <c r="E107" s="34">
        <v>2</v>
      </c>
      <c r="F107" s="82">
        <v>944.41</v>
      </c>
      <c r="G107" s="25">
        <v>0.2</v>
      </c>
      <c r="H107" s="26">
        <f t="shared" si="11"/>
        <v>1511.06</v>
      </c>
      <c r="M107" s="35"/>
    </row>
    <row r="108" spans="1:13" ht="25.5" x14ac:dyDescent="0.25">
      <c r="A108" s="15"/>
      <c r="B108" s="32">
        <v>52030353</v>
      </c>
      <c r="C108" s="79"/>
      <c r="D108" s="31" t="s">
        <v>147</v>
      </c>
      <c r="E108" s="34">
        <v>2</v>
      </c>
      <c r="F108" s="83">
        <v>483.66</v>
      </c>
      <c r="G108" s="25">
        <v>0.2</v>
      </c>
      <c r="H108" s="26">
        <f t="shared" si="11"/>
        <v>773.86</v>
      </c>
      <c r="M108" s="35"/>
    </row>
    <row r="109" spans="1:13" x14ac:dyDescent="0.25">
      <c r="A109" s="15"/>
      <c r="B109" s="32">
        <v>52030355</v>
      </c>
      <c r="C109" s="79"/>
      <c r="D109" s="31" t="s">
        <v>73</v>
      </c>
      <c r="E109" s="34">
        <v>1</v>
      </c>
      <c r="F109" s="82">
        <v>376.29</v>
      </c>
      <c r="G109" s="25">
        <v>0.2</v>
      </c>
      <c r="H109" s="26">
        <f t="shared" si="10"/>
        <v>301.02999999999997</v>
      </c>
      <c r="M109" s="35"/>
    </row>
    <row r="110" spans="1:13" ht="25.5" x14ac:dyDescent="0.25">
      <c r="A110" s="15"/>
      <c r="B110" s="32">
        <v>85543315</v>
      </c>
      <c r="C110" s="79"/>
      <c r="D110" s="31" t="s">
        <v>74</v>
      </c>
      <c r="E110" s="34">
        <v>2</v>
      </c>
      <c r="F110" s="82">
        <v>1403.9</v>
      </c>
      <c r="G110" s="25">
        <v>0.2</v>
      </c>
      <c r="H110" s="26">
        <f t="shared" si="10"/>
        <v>2246.2399999999998</v>
      </c>
      <c r="M110" s="35"/>
    </row>
    <row r="111" spans="1:13" x14ac:dyDescent="0.25">
      <c r="A111" s="15"/>
      <c r="B111" s="32">
        <v>52123583</v>
      </c>
      <c r="C111" s="79"/>
      <c r="D111" s="31" t="s">
        <v>75</v>
      </c>
      <c r="E111" s="34">
        <v>1</v>
      </c>
      <c r="F111" s="82">
        <v>1051.4000000000001</v>
      </c>
      <c r="G111" s="25">
        <v>0.2</v>
      </c>
      <c r="H111" s="26">
        <f t="shared" ref="H111:H116" si="12">(F111*(1-G111))*E111</f>
        <v>841.12</v>
      </c>
      <c r="M111" s="35"/>
    </row>
    <row r="112" spans="1:13" ht="25.5" x14ac:dyDescent="0.25">
      <c r="A112" s="15"/>
      <c r="B112" s="32">
        <v>52123686</v>
      </c>
      <c r="C112" s="79"/>
      <c r="D112" s="31" t="s">
        <v>148</v>
      </c>
      <c r="E112" s="34">
        <v>2</v>
      </c>
      <c r="F112" s="83">
        <v>706.75</v>
      </c>
      <c r="G112" s="25">
        <v>0.2</v>
      </c>
      <c r="H112" s="26">
        <f t="shared" si="12"/>
        <v>1130.8</v>
      </c>
      <c r="M112" s="35"/>
    </row>
    <row r="113" spans="1:13" x14ac:dyDescent="0.25">
      <c r="A113" s="15"/>
      <c r="B113" s="32">
        <v>52144934</v>
      </c>
      <c r="C113" s="79"/>
      <c r="D113" s="31" t="s">
        <v>76</v>
      </c>
      <c r="E113" s="34">
        <v>1</v>
      </c>
      <c r="F113" s="82">
        <v>1263.08</v>
      </c>
      <c r="G113" s="25">
        <v>0.2</v>
      </c>
      <c r="H113" s="26">
        <f t="shared" si="12"/>
        <v>1010.46</v>
      </c>
      <c r="M113" s="35"/>
    </row>
    <row r="114" spans="1:13" x14ac:dyDescent="0.25">
      <c r="A114" s="15"/>
      <c r="B114" s="32">
        <v>94772237</v>
      </c>
      <c r="C114" s="79"/>
      <c r="D114" s="31" t="s">
        <v>77</v>
      </c>
      <c r="E114" s="34">
        <v>1</v>
      </c>
      <c r="F114" s="82">
        <v>3183.54</v>
      </c>
      <c r="G114" s="25">
        <v>0.2</v>
      </c>
      <c r="H114" s="26">
        <v>2546.83</v>
      </c>
      <c r="M114" s="35"/>
    </row>
    <row r="115" spans="1:13" ht="25.5" x14ac:dyDescent="0.25">
      <c r="A115" s="15"/>
      <c r="B115" s="32">
        <v>85133959</v>
      </c>
      <c r="C115" s="79"/>
      <c r="D115" s="31" t="s">
        <v>78</v>
      </c>
      <c r="E115" s="34">
        <v>1</v>
      </c>
      <c r="F115" s="82">
        <v>1968.95</v>
      </c>
      <c r="G115" s="25">
        <v>0.2</v>
      </c>
      <c r="H115" s="26">
        <f t="shared" si="12"/>
        <v>1575.16</v>
      </c>
      <c r="M115" s="35"/>
    </row>
    <row r="116" spans="1:13" x14ac:dyDescent="0.25">
      <c r="A116" s="15"/>
      <c r="B116" s="32">
        <v>52184200</v>
      </c>
      <c r="C116" s="79"/>
      <c r="D116" s="31" t="s">
        <v>79</v>
      </c>
      <c r="E116" s="34">
        <v>1</v>
      </c>
      <c r="F116" s="82">
        <v>7113.71</v>
      </c>
      <c r="G116" s="25">
        <v>0.2</v>
      </c>
      <c r="H116" s="26">
        <f t="shared" si="12"/>
        <v>5690.97</v>
      </c>
      <c r="M116" s="35"/>
    </row>
    <row r="117" spans="1:13" x14ac:dyDescent="0.25">
      <c r="A117" s="15"/>
      <c r="B117" s="32">
        <v>52150608</v>
      </c>
      <c r="C117" s="79"/>
      <c r="D117" s="31" t="s">
        <v>80</v>
      </c>
      <c r="E117" s="34">
        <v>1</v>
      </c>
      <c r="F117" s="82">
        <v>2160.27</v>
      </c>
      <c r="G117" s="25">
        <v>0.2</v>
      </c>
      <c r="H117" s="26">
        <f t="shared" si="10"/>
        <v>1728.22</v>
      </c>
      <c r="M117" s="81"/>
    </row>
    <row r="118" spans="1:13" ht="18.75" customHeight="1" x14ac:dyDescent="0.25">
      <c r="A118" s="14"/>
      <c r="B118" s="52">
        <v>52084727</v>
      </c>
      <c r="C118" s="78"/>
      <c r="D118" s="31" t="s">
        <v>81</v>
      </c>
      <c r="E118" s="34">
        <v>1</v>
      </c>
      <c r="F118" s="82">
        <v>789.74</v>
      </c>
      <c r="G118" s="25">
        <v>0.2</v>
      </c>
      <c r="H118" s="26">
        <f t="shared" si="10"/>
        <v>631.79</v>
      </c>
    </row>
    <row r="119" spans="1:13" x14ac:dyDescent="0.25">
      <c r="A119" s="16"/>
      <c r="B119" s="52">
        <v>52148877</v>
      </c>
      <c r="C119" s="78"/>
      <c r="D119" s="31" t="s">
        <v>82</v>
      </c>
      <c r="E119" s="34">
        <v>1</v>
      </c>
      <c r="F119" s="82">
        <v>904.56</v>
      </c>
      <c r="G119" s="25">
        <v>0.2</v>
      </c>
      <c r="H119" s="26">
        <f t="shared" si="10"/>
        <v>723.65</v>
      </c>
    </row>
    <row r="120" spans="1:13" ht="18" customHeight="1" x14ac:dyDescent="0.25">
      <c r="A120" s="16"/>
      <c r="B120" s="52">
        <v>52123584</v>
      </c>
      <c r="C120" s="78"/>
      <c r="D120" s="31" t="s">
        <v>83</v>
      </c>
      <c r="E120" s="34">
        <v>1</v>
      </c>
      <c r="F120" s="82">
        <v>1051.4000000000001</v>
      </c>
      <c r="G120" s="25">
        <v>0.2</v>
      </c>
      <c r="H120" s="26">
        <f t="shared" si="10"/>
        <v>841.12</v>
      </c>
    </row>
    <row r="121" spans="1:13" ht="21.75" customHeight="1" x14ac:dyDescent="0.25">
      <c r="A121" s="16"/>
      <c r="B121" s="52">
        <v>94768942</v>
      </c>
      <c r="C121" s="78"/>
      <c r="D121" s="31" t="s">
        <v>149</v>
      </c>
      <c r="E121" s="34">
        <v>2</v>
      </c>
      <c r="F121" s="82">
        <v>775.02</v>
      </c>
      <c r="G121" s="25">
        <v>0.2</v>
      </c>
      <c r="H121" s="26">
        <v>1240.04</v>
      </c>
    </row>
    <row r="122" spans="1:13" ht="21" customHeight="1" x14ac:dyDescent="0.25">
      <c r="A122" s="16"/>
      <c r="B122" s="72">
        <v>94768943</v>
      </c>
      <c r="C122" s="80"/>
      <c r="D122" s="31" t="s">
        <v>84</v>
      </c>
      <c r="E122" s="34">
        <v>1</v>
      </c>
      <c r="F122" s="82">
        <v>662.93</v>
      </c>
      <c r="G122" s="25">
        <v>0.2</v>
      </c>
      <c r="H122" s="26">
        <f t="shared" ref="H122" si="13">(F122*(1-G122))*E122</f>
        <v>530.34</v>
      </c>
    </row>
    <row r="123" spans="1:13" x14ac:dyDescent="0.25">
      <c r="A123" s="13"/>
      <c r="B123" s="17"/>
      <c r="C123" s="17"/>
      <c r="D123" s="17"/>
      <c r="E123" s="18"/>
      <c r="F123" s="62" t="s">
        <v>20</v>
      </c>
      <c r="G123" s="63"/>
      <c r="H123" s="19">
        <f>SUM(H77:H122)</f>
        <v>45347.13</v>
      </c>
    </row>
    <row r="124" spans="1:13" ht="15" customHeight="1" x14ac:dyDescent="0.25">
      <c r="A124" s="64" t="s">
        <v>21</v>
      </c>
      <c r="B124" s="65"/>
      <c r="C124" s="65"/>
      <c r="D124" s="65"/>
      <c r="E124" s="65"/>
      <c r="F124" s="65"/>
      <c r="G124" s="65"/>
      <c r="H124" s="66"/>
    </row>
    <row r="125" spans="1:13" ht="15.75" x14ac:dyDescent="0.25">
      <c r="A125" s="47" t="s">
        <v>11</v>
      </c>
      <c r="B125" s="47"/>
      <c r="C125" s="47"/>
      <c r="D125" s="47"/>
      <c r="E125" s="47"/>
      <c r="F125" s="47"/>
      <c r="G125" s="48"/>
      <c r="H125" s="48"/>
    </row>
    <row r="126" spans="1:13" ht="15.75" x14ac:dyDescent="0.25">
      <c r="A126" s="47" t="s">
        <v>12</v>
      </c>
      <c r="B126" s="47"/>
      <c r="C126" s="47"/>
      <c r="D126" s="47"/>
      <c r="E126" s="47"/>
      <c r="F126" s="47"/>
      <c r="G126" s="71">
        <f>H123</f>
        <v>45347.13</v>
      </c>
      <c r="H126" s="71"/>
    </row>
    <row r="127" spans="1:13" ht="15.75" x14ac:dyDescent="0.25">
      <c r="A127" s="47" t="s">
        <v>150</v>
      </c>
      <c r="B127" s="47"/>
      <c r="C127" s="47"/>
      <c r="D127" s="47"/>
      <c r="E127" s="47"/>
      <c r="F127" s="47"/>
      <c r="G127" s="71">
        <v>5998.77</v>
      </c>
      <c r="H127" s="71"/>
    </row>
    <row r="128" spans="1:13" ht="15.75" x14ac:dyDescent="0.25">
      <c r="A128" s="10" t="s">
        <v>13</v>
      </c>
      <c r="B128" s="11"/>
      <c r="C128" s="11"/>
      <c r="D128" s="11"/>
      <c r="E128" s="11"/>
      <c r="F128" s="12"/>
      <c r="G128" s="71">
        <f>SUM(G126:G127)</f>
        <v>51345.9</v>
      </c>
      <c r="H128" s="71"/>
    </row>
    <row r="129" spans="1:8" ht="28.5" x14ac:dyDescent="0.45">
      <c r="A129" s="69" t="s">
        <v>17</v>
      </c>
      <c r="B129" s="69"/>
      <c r="C129" s="69"/>
      <c r="D129" s="69"/>
      <c r="E129" s="69"/>
      <c r="F129" s="69"/>
      <c r="G129" s="70">
        <v>51345.9</v>
      </c>
      <c r="H129" s="70"/>
    </row>
    <row r="130" spans="1:8" x14ac:dyDescent="0.25">
      <c r="A130" s="68" t="s">
        <v>151</v>
      </c>
      <c r="B130" s="68"/>
      <c r="C130" s="68"/>
      <c r="D130" s="68"/>
      <c r="E130" s="68"/>
      <c r="F130" s="68"/>
      <c r="G130" s="68"/>
      <c r="H130" s="68"/>
    </row>
    <row r="131" spans="1:8" x14ac:dyDescent="0.25">
      <c r="A131" s="5"/>
      <c r="B131" s="5"/>
      <c r="C131" s="5"/>
      <c r="D131" s="5"/>
      <c r="E131" s="5"/>
      <c r="F131" s="6"/>
      <c r="G131" s="7"/>
      <c r="H131" s="5"/>
    </row>
    <row r="132" spans="1:8" x14ac:dyDescent="0.25">
      <c r="A132" s="5"/>
      <c r="B132" s="5"/>
      <c r="C132" s="5"/>
      <c r="D132" s="5"/>
      <c r="E132" s="5"/>
      <c r="F132" s="5"/>
      <c r="G132" s="5"/>
      <c r="H132" s="5"/>
    </row>
    <row r="133" spans="1:8" x14ac:dyDescent="0.25">
      <c r="A133" s="67"/>
      <c r="B133" s="67"/>
      <c r="C133" s="67"/>
      <c r="D133" s="67"/>
      <c r="E133" s="67"/>
      <c r="F133" s="67"/>
      <c r="G133" s="67"/>
      <c r="H133" s="67"/>
    </row>
    <row r="134" spans="1:8" x14ac:dyDescent="0.25">
      <c r="A134" s="61" t="s">
        <v>37</v>
      </c>
      <c r="B134" s="61"/>
      <c r="C134" s="61"/>
      <c r="D134" s="61"/>
      <c r="E134" s="61"/>
      <c r="F134" s="61"/>
      <c r="G134" s="61"/>
      <c r="H134" s="61"/>
    </row>
  </sheetData>
  <mergeCells count="51">
    <mergeCell ref="B122:C122"/>
    <mergeCell ref="B99:C99"/>
    <mergeCell ref="B79:C79"/>
    <mergeCell ref="B80:C80"/>
    <mergeCell ref="B120:C120"/>
    <mergeCell ref="B121:C121"/>
    <mergeCell ref="B98:C98"/>
    <mergeCell ref="A134:H134"/>
    <mergeCell ref="F123:G123"/>
    <mergeCell ref="A124:H124"/>
    <mergeCell ref="A133:H133"/>
    <mergeCell ref="A130:H130"/>
    <mergeCell ref="A129:F129"/>
    <mergeCell ref="G129:H129"/>
    <mergeCell ref="A126:F126"/>
    <mergeCell ref="G126:H126"/>
    <mergeCell ref="A127:F127"/>
    <mergeCell ref="G127:H127"/>
    <mergeCell ref="G128:H128"/>
    <mergeCell ref="A11:C11"/>
    <mergeCell ref="D11:H11"/>
    <mergeCell ref="A12:H12"/>
    <mergeCell ref="A13:H13"/>
    <mergeCell ref="A14:D14"/>
    <mergeCell ref="E14:H14"/>
    <mergeCell ref="A7:B7"/>
    <mergeCell ref="A6:C6"/>
    <mergeCell ref="A9:D9"/>
    <mergeCell ref="E9:H9"/>
    <mergeCell ref="A10:H10"/>
    <mergeCell ref="A5:B5"/>
    <mergeCell ref="C5:D5"/>
    <mergeCell ref="E5:F5"/>
    <mergeCell ref="G5:H5"/>
    <mergeCell ref="D6:H6"/>
    <mergeCell ref="B1:H1"/>
    <mergeCell ref="B77:C77"/>
    <mergeCell ref="B78:C78"/>
    <mergeCell ref="A2:H2"/>
    <mergeCell ref="A125:F125"/>
    <mergeCell ref="G125:H125"/>
    <mergeCell ref="A17:H17"/>
    <mergeCell ref="B76:C76"/>
    <mergeCell ref="B118:C118"/>
    <mergeCell ref="B119:C119"/>
    <mergeCell ref="A8:H8"/>
    <mergeCell ref="A15:H16"/>
    <mergeCell ref="A3:H3"/>
    <mergeCell ref="A4:H4"/>
    <mergeCell ref="C7:D7"/>
    <mergeCell ref="E7:H7"/>
  </mergeCells>
  <pageMargins left="0.51180555555555496" right="0.51180555555555496" top="0.78749999999999998" bottom="0.78749999999999998" header="0.51180555555555496" footer="0.51180555555555496"/>
  <pageSetup paperSize="9" scale="88" firstPageNumber="0" fitToHeight="0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1"/>
  <sheetViews>
    <sheetView zoomScaleNormal="100" workbookViewId="0"/>
  </sheetViews>
  <sheetFormatPr defaultRowHeight="15" x14ac:dyDescent="0.25"/>
  <cols>
    <col min="1" max="1025" width="8.7109375" style="1" customWidth="1"/>
  </cols>
  <sheetData/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1"/>
  <sheetViews>
    <sheetView zoomScaleNormal="100" workbookViewId="0"/>
  </sheetViews>
  <sheetFormatPr defaultRowHeight="15" x14ac:dyDescent="0.25"/>
  <cols>
    <col min="1" max="1025" width="8.7109375" style="1" customWidth="1"/>
  </cols>
  <sheetData/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Plan1</vt:lpstr>
      <vt:lpstr>Plan2</vt:lpstr>
      <vt:lpstr>Plan3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Moura</dc:creator>
  <cp:lastModifiedBy>CLAUDIO ROBERTO DA SILVA</cp:lastModifiedBy>
  <cp:revision>6</cp:revision>
  <cp:lastPrinted>2025-04-02T18:28:05Z</cp:lastPrinted>
  <dcterms:created xsi:type="dcterms:W3CDTF">2017-09-19T19:30:14Z</dcterms:created>
  <dcterms:modified xsi:type="dcterms:W3CDTF">2026-04-24T16:41:38Z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